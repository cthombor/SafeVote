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cthom\Documents\Personal\Green\List Ranking Algorithms\Local Body Election Results 2022\"/>
    </mc:Choice>
  </mc:AlternateContent>
  <xr:revisionPtr revIDLastSave="0" documentId="13_ncr:1_{B1F11849-0631-4521-8358-DD4B791F0281}" xr6:coauthVersionLast="47" xr6:coauthVersionMax="47" xr10:uidLastSave="{00000000-0000-0000-0000-000000000000}"/>
  <bookViews>
    <workbookView xWindow="-98" yWindow="-98" windowWidth="19396" windowHeight="11475" activeTab="1" xr2:uid="{81F79B59-EFBF-4F41-8516-FFCF81E258F8}"/>
  </bookViews>
  <sheets>
    <sheet name="Wellington" sheetId="1" r:id="rId1"/>
    <sheet name="summary results" sheetId="2" r:id="rId2"/>
    <sheet name="full results" sheetId="4" r:id="rId3"/>
    <sheet name="returns"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7" i="1"/>
  <c r="F68" i="1"/>
  <c r="F69" i="1"/>
  <c r="F70" i="1"/>
  <c r="F71" i="1"/>
  <c r="F72" i="1"/>
  <c r="F73" i="1"/>
  <c r="F74" i="1"/>
  <c r="F75" i="1"/>
  <c r="F66" i="1"/>
</calcChain>
</file>

<file path=xl/sharedStrings.xml><?xml version="1.0" encoding="utf-8"?>
<sst xmlns="http://schemas.openxmlformats.org/spreadsheetml/2006/main" count="1884" uniqueCount="382">
  <si>
    <t>Vacancies: 1</t>
  </si>
  <si>
    <t>Candidate</t>
  </si>
  <si>
    <t>Status</t>
  </si>
  <si>
    <t>Iteration</t>
  </si>
  <si>
    <t>Votes</t>
  </si>
  <si>
    <t>Tory Whanau </t>
  </si>
  <si>
    <r>
      <t> </t>
    </r>
    <r>
      <rPr>
        <sz val="7"/>
        <color rgb="FF000000"/>
        <rFont val="Inherit"/>
      </rPr>
      <t>Elected</t>
    </r>
  </si>
  <si>
    <r>
      <t> </t>
    </r>
    <r>
      <rPr>
        <sz val="7"/>
        <color rgb="FF000000"/>
        <rFont val="Inherit"/>
      </rPr>
      <t>7</t>
    </r>
  </si>
  <si>
    <r>
      <t>34,462.00</t>
    </r>
    <r>
      <rPr>
        <sz val="7"/>
        <color rgb="FF000000"/>
        <rFont val="Inherit"/>
      </rPr>
      <t> </t>
    </r>
  </si>
  <si>
    <t>Andy Foster </t>
  </si>
  <si>
    <t> Excluded</t>
  </si>
  <si>
    <t> 7</t>
  </si>
  <si>
    <t>16,711.00 </t>
  </si>
  <si>
    <t>Paul Eagle</t>
  </si>
  <si>
    <t>14,589.00 </t>
  </si>
  <si>
    <t>Ray Chung </t>
  </si>
  <si>
    <t> 6</t>
  </si>
  <si>
    <t>12,670.00 </t>
  </si>
  <si>
    <t>Chris Dudfield </t>
  </si>
  <si>
    <t> 5</t>
  </si>
  <si>
    <t>2,960.00 </t>
  </si>
  <si>
    <t>Kelvin Hastie </t>
  </si>
  <si>
    <t> 4</t>
  </si>
  <si>
    <t>2,208.00 </t>
  </si>
  <si>
    <t>Barbara McKenzie </t>
  </si>
  <si>
    <t> 3 </t>
  </si>
  <si>
    <t>1,341.00 </t>
  </si>
  <si>
    <t>Ellen Blake</t>
  </si>
  <si>
    <t> 2</t>
  </si>
  <si>
    <t>1,116.00 </t>
  </si>
  <si>
    <t>Donald Newtown McDonald </t>
  </si>
  <si>
    <t> 1</t>
  </si>
  <si>
    <t>385.00 </t>
  </si>
  <si>
    <t>Mayor</t>
  </si>
  <si>
    <t>Vacancies: 3</t>
  </si>
  <si>
    <t>Ben McNulty </t>
  </si>
  <si>
    <t> Elected</t>
  </si>
  <si>
    <t>Tony Randle </t>
  </si>
  <si>
    <r>
      <t>John Apanowicz</t>
    </r>
    <r>
      <rPr>
        <sz val="7"/>
        <color rgb="FF000000"/>
        <rFont val="Inherit"/>
      </rPr>
      <t> </t>
    </r>
  </si>
  <si>
    <r>
      <t> </t>
    </r>
    <r>
      <rPr>
        <sz val="7"/>
        <color rgb="FF000000"/>
        <rFont val="Inherit"/>
      </rPr>
      <t>9</t>
    </r>
  </si>
  <si>
    <t>Jenny Condie </t>
  </si>
  <si>
    <t> 9</t>
  </si>
  <si>
    <t>Rachel Qi </t>
  </si>
  <si>
    <t>Robyn Parkinson</t>
  </si>
  <si>
    <t>John Peters </t>
  </si>
  <si>
    <t>Raveen Annamalai </t>
  </si>
  <si>
    <t> 3</t>
  </si>
  <si>
    <t>James Sullivan </t>
  </si>
  <si>
    <t>199.00 </t>
  </si>
  <si>
    <t>James Sales </t>
  </si>
  <si>
    <t>150.00 </t>
  </si>
  <si>
    <t>Takapū / Northern Ward</t>
  </si>
  <si>
    <t>Wharangi / Onslow-Western Ward</t>
  </si>
  <si>
    <t>Diane Calvert </t>
  </si>
  <si>
    <t>Rebecca Matthews </t>
  </si>
  <si>
    <t>Lachlan Patterson </t>
  </si>
  <si>
    <t>Heather Baldwin </t>
  </si>
  <si>
    <t>Bob Mason </t>
  </si>
  <si>
    <t>Ryan Bothma </t>
  </si>
  <si>
    <t>Kush Bhargava </t>
  </si>
  <si>
    <t>Alexander Garside </t>
  </si>
  <si>
    <t> 113.00</t>
  </si>
  <si>
    <t>Pukehīnau / Lambton Ward</t>
  </si>
  <si>
    <t>Tamatha Paul</t>
  </si>
  <si>
    <t>Nicola Mary Jacobina Young  </t>
  </si>
  <si>
    <t> 8</t>
  </si>
  <si>
    <t>Iona Pannett</t>
  </si>
  <si>
    <t> 10</t>
  </si>
  <si>
    <t>Afnan Al-Rubayee </t>
  </si>
  <si>
    <t>Karl Tiefenbacher </t>
  </si>
  <si>
    <t>Jane O'Loughlin </t>
  </si>
  <si>
    <t>Ellen Blake </t>
  </si>
  <si>
    <t>Jonathan Markwick </t>
  </si>
  <si>
    <t>Nicholas Hancox </t>
  </si>
  <si>
    <t>Zan Rai Gyaw </t>
  </si>
  <si>
    <t>Motukairangi / Eastern Ward</t>
  </si>
  <si>
    <t> Iteration</t>
  </si>
  <si>
    <t> Votes</t>
  </si>
  <si>
    <t>Teri O'Neill</t>
  </si>
  <si>
    <t> 3,387.00</t>
  </si>
  <si>
    <t>Tim Brown</t>
  </si>
  <si>
    <t>Sarah Free</t>
  </si>
  <si>
    <t>Steph Edlin</t>
  </si>
  <si>
    <t> 2,512.00</t>
  </si>
  <si>
    <t>Luana Scowcroft</t>
  </si>
  <si>
    <t> 1,982.00</t>
  </si>
  <si>
    <t>Ken Ah Kuoi</t>
  </si>
  <si>
    <t> 1,289.00</t>
  </si>
  <si>
    <t>Nathan Meyer</t>
  </si>
  <si>
    <t>Rob Goulden</t>
  </si>
  <si>
    <t> 665.00</t>
  </si>
  <si>
    <t>Aaron Gilmore</t>
  </si>
  <si>
    <t> 314.00</t>
  </si>
  <si>
    <t>Atul Prema</t>
  </si>
  <si>
    <t> 51.00</t>
  </si>
  <si>
    <t>Paekawakawa / Southern Ward</t>
  </si>
  <si>
    <t>Vacancies: 2</t>
  </si>
  <si>
    <t>Laurie Foon</t>
  </si>
  <si>
    <t> 1 </t>
  </si>
  <si>
    <t>4,499.00 </t>
  </si>
  <si>
    <t>Nureddin Abdurahman</t>
  </si>
  <si>
    <t>4,013.03 </t>
  </si>
  <si>
    <t>Paula Muollo</t>
  </si>
  <si>
    <t>2,891.58 </t>
  </si>
  <si>
    <t>Chris Dudfield</t>
  </si>
  <si>
    <t>1,495.89 </t>
  </si>
  <si>
    <t>Iain Alasdair MacLeod</t>
  </si>
  <si>
    <t>805.78 </t>
  </si>
  <si>
    <t>Jonathan Coppard</t>
  </si>
  <si>
    <t>761.50 </t>
  </si>
  <si>
    <t>Inoke Afeaki</t>
  </si>
  <si>
    <t> 5 </t>
  </si>
  <si>
    <t>551.08 </t>
  </si>
  <si>
    <t>Ate Moala</t>
  </si>
  <si>
    <t> 4 </t>
  </si>
  <si>
    <t>439.40 </t>
  </si>
  <si>
    <t>Dipak Bhana</t>
  </si>
  <si>
    <t>332.60 </t>
  </si>
  <si>
    <t>Urmila Bhana</t>
  </si>
  <si>
    <t> 2 </t>
  </si>
  <si>
    <t>262.17 </t>
  </si>
  <si>
    <t>Te Whanganui-a-Tara Māori Ward</t>
  </si>
  <si>
    <t>Nīkau Wi Neera</t>
  </si>
  <si>
    <t>872.00 </t>
  </si>
  <si>
    <t>Matthew Reweti</t>
  </si>
  <si>
    <t> Excluded             </t>
  </si>
  <si>
    <t>805.00 </t>
  </si>
  <si>
    <t>Ali Hamlin-Paenga</t>
  </si>
  <si>
    <t>329.00 </t>
  </si>
  <si>
    <t>Mākara-Ōhāriu Community Board</t>
  </si>
  <si>
    <t>Vacancies: 6</t>
  </si>
  <si>
    <t>Mark Reed</t>
  </si>
  <si>
    <t>  1</t>
  </si>
  <si>
    <t> 0.00</t>
  </si>
  <si>
    <t>Christine Grace</t>
  </si>
  <si>
    <t>Darren Hoskins</t>
  </si>
  <si>
    <t>Hamish Todd</t>
  </si>
  <si>
    <t>Chris Renner</t>
  </si>
  <si>
    <t>Wayne Rudd</t>
  </si>
  <si>
    <t>John Apanowicz</t>
  </si>
  <si>
    <t>  1</t>
  </si>
  <si>
    <t>Tawa Community Board</t>
  </si>
  <si>
    <t>Jill Day</t>
  </si>
  <si>
    <t>Tim Davin</t>
  </si>
  <si>
    <t>Rachel Allan</t>
  </si>
  <si>
    <t>Miriam Moore</t>
  </si>
  <si>
    <t>Janryll Fernandez</t>
  </si>
  <si>
    <t>Jackson Lacy</t>
  </si>
  <si>
    <t> 12</t>
  </si>
  <si>
    <t>Warwick Glendenning</t>
  </si>
  <si>
    <t>Clint Schoultz</t>
  </si>
  <si>
    <t>Georgia Wilkinson</t>
  </si>
  <si>
    <t> 6             </t>
  </si>
  <si>
    <t>Brendon Green</t>
  </si>
  <si>
    <t>James Sales</t>
  </si>
  <si>
    <t>The final absolute majority of votes (final quota) as determined at the last iteration was 32,881. There were 103 informal votes and 485 blank votes.</t>
  </si>
  <si>
    <t>https://www.electionz.com/LGE2022Results/ELT47WG22_results.pdf</t>
  </si>
  <si>
    <t>The final absolute majority of votes (final quota) as determined at the last iteration was 3,064.67. There were 38 informal votes and 509 blank votes.</t>
  </si>
  <si>
    <t>Sources:</t>
  </si>
  <si>
    <t>https://wellington.govt.nz/your-council/elections/2022-elections/results/</t>
  </si>
  <si>
    <t>The final absolute majority of votes (final quota) as determined at the last iteration was 3,948.69. There were 53 informal votes and 396 blank votes.</t>
  </si>
  <si>
    <t>The final absolute majority of votes (final quota) as determined at the last iteration was 2,799.95. There were 40 informal votes and 262 blank votes.</t>
  </si>
  <si>
    <t>The final absolute majority of votes (final quota) as determined at the last iteration was 3,042.25. There were 96 informal votes and 443 blank votes.</t>
  </si>
  <si>
    <t>The final absolute majority of votes (final quota) as determined at the last iteration was 3,611.31. There were 53 informal votes and 339 blank votes.</t>
  </si>
  <si>
    <t>The final absolute majority of votes (final quota) as determined at the last iteration was 839. There were 7 informal votes and 88 blank votes.</t>
  </si>
  <si>
    <t>(*Section 88A of the Local Electoral Act provides that if a person is declared to be elected as a member of the council, and that person is also declared to be elected as a member of a community board, that person must be treated as having vacated office as a member of the community board.)</t>
  </si>
  <si>
    <t>The final absolute majority of votes (final quota) as determined at the last iteration was 0. There were 0 informal votes and 8 blank votes.</t>
  </si>
  <si>
    <t>The final absolute majority of votes (final quota) as determined at the last iteration was 555.37. There were 14 informal votes and 138 blank votes.</t>
  </si>
  <si>
    <t>The voter return was 43.27%, being 69,421 voting papers, excluding special votes.</t>
  </si>
  <si>
    <t>s</t>
  </si>
  <si>
    <t>https://www.electionz.com/LGE2022Returns/ELT47WG22_returns.htm</t>
  </si>
  <si>
    <t>2022 Triennial Elections</t>
  </si>
  <si>
    <t>Election Returns</t>
  </si>
  <si>
    <t>As at 12 October 4:39pm</t>
  </si>
  <si>
    <t>2022 Total Returns</t>
  </si>
  <si>
    <t>Prior Years Returns</t>
  </si>
  <si>
    <t>Date</t>
  </si>
  <si>
    <t>Returns</t>
  </si>
  <si>
    <t>Daily Return %</t>
  </si>
  <si>
    <t>Cumulative Return</t>
  </si>
  <si>
    <t>Cumulative Return %</t>
  </si>
  <si>
    <t>2019 Returns</t>
  </si>
  <si>
    <t>2016 Returns</t>
  </si>
  <si>
    <t>2013 Returns</t>
  </si>
  <si>
    <t>Total</t>
  </si>
  <si>
    <t>Takapū/Northern General Ward</t>
  </si>
  <si>
    <t>Total Electors: 34,605</t>
  </si>
  <si>
    <t>Cumulative % Return</t>
  </si>
  <si>
    <t>Wharangi/Onslow-Western General Ward</t>
  </si>
  <si>
    <t>Total Electors: 33,591</t>
  </si>
  <si>
    <t>Pukehīnau/Lambton General Ward</t>
  </si>
  <si>
    <t>Total Electors: 32,135</t>
  </si>
  <si>
    <t>Motukairangi/Eastern General Ward</t>
  </si>
  <si>
    <t>Total Electors: 28,868</t>
  </si>
  <si>
    <t>Paekawakawa/Southern General Ward</t>
  </si>
  <si>
    <t>Total Electors: 25,447</t>
  </si>
  <si>
    <t>Total Electors: 5,803</t>
  </si>
  <si>
    <t>City</t>
  </si>
  <si>
    <t>Office</t>
  </si>
  <si>
    <t>npos</t>
  </si>
  <si>
    <t>Count</t>
  </si>
  <si>
    <t>nBallots</t>
  </si>
  <si>
    <t>nBlanks</t>
  </si>
  <si>
    <t>nInformals</t>
  </si>
  <si>
    <t>QuotaFirst</t>
  </si>
  <si>
    <t>QuotaLast</t>
  </si>
  <si>
    <t>CandidateName</t>
  </si>
  <si>
    <t>VotesReceived</t>
  </si>
  <si>
    <t>KeepValue</t>
  </si>
  <si>
    <t>Rank</t>
  </si>
  <si>
    <t>Quota</t>
  </si>
  <si>
    <t>NTV</t>
  </si>
  <si>
    <t>Final</t>
  </si>
  <si>
    <r>
      <rPr>
        <sz val="10"/>
        <rFont val="Arial"/>
        <family val="2"/>
      </rPr>
      <t>GLENDENNING, excluded at iteration 12, reason: All available seats were filled</t>
    </r>
  </si>
  <si>
    <r>
      <rPr>
        <sz val="10"/>
        <rFont val="Arial"/>
        <family val="2"/>
      </rPr>
      <t>LACY, elected at iteration 12, reason: Candidate received 556.347384977 votes and quota was 555.371907164</t>
    </r>
  </si>
  <si>
    <r>
      <rPr>
        <sz val="10"/>
        <rFont val="Arial"/>
        <family val="2"/>
      </rPr>
      <t>FERNANDEZ, elected at iteration 9, reason: Candidate received 566.582887771 votes and quota was 558.956661070</t>
    </r>
  </si>
  <si>
    <r>
      <rPr>
        <sz val="10"/>
        <rFont val="Arial"/>
        <family val="2"/>
      </rPr>
      <t>MOORE, elected at iteration 8, reason: Candidate received 595.111822757 votes and quota was 562.294748138</t>
    </r>
  </si>
  <si>
    <r>
      <rPr>
        <sz val="10"/>
        <rFont val="Arial"/>
        <family val="2"/>
      </rPr>
      <t>SCHOULTZ, excluded at iteration 7, reason: Candidate received the lowest vote count 293.609792122, less than the second lowest by more than total surplus (78.685516436)</t>
    </r>
  </si>
  <si>
    <r>
      <rPr>
        <sz val="10"/>
        <rFont val="Arial"/>
        <family val="2"/>
      </rPr>
      <t>WILKINSON, excluded at iteration 6, reason: Candidate received the lowest vote count 238.735129497, less than the second lowest by more than total surplus (12.217481217)</t>
    </r>
  </si>
  <si>
    <r>
      <rPr>
        <sz val="10"/>
        <rFont val="Arial"/>
        <family val="2"/>
      </rPr>
      <t>GREEN, excluded at iteration 4, reason: Candidate received the lowest vote count 105.334291250, less than the second lowest by more than total surplus (29.986315116)</t>
    </r>
  </si>
  <si>
    <r>
      <rPr>
        <sz val="10"/>
        <rFont val="Arial"/>
        <family val="2"/>
      </rPr>
      <t>SALES, excluded at iteration 3, reason: Candidate received the lowest vote count 69.063265180, less than the second lowest by more than total surplus (22.783066359)</t>
    </r>
  </si>
  <si>
    <r>
      <rPr>
        <sz val="10"/>
        <rFont val="Arial"/>
        <family val="2"/>
      </rPr>
      <t>ALLAN, elected at iteration 3, reason: Candidate received 595.658444427 votes and quota was 584.423877232</t>
    </r>
  </si>
  <si>
    <r>
      <rPr>
        <sz val="10"/>
        <rFont val="Arial"/>
        <family val="2"/>
      </rPr>
      <t>DAVIN, elected at iteration 2, reason: Candidate received 671.683419236 votes and quota was 585.895366874</t>
    </r>
  </si>
  <si>
    <r>
      <rPr>
        <sz val="10"/>
        <rFont val="Arial"/>
        <family val="2"/>
      </rPr>
      <t>DAY, elected at iteration 1, reason: Candidate received 1606.000000000 votes and quota was 599.857142858</t>
    </r>
  </si>
  <si>
    <r>
      <rPr>
        <b/>
        <sz val="10"/>
        <rFont val="Arial"/>
        <family val="2"/>
      </rPr>
      <t>Calculator commentary from last iteration...</t>
    </r>
  </si>
  <si>
    <r>
      <rPr>
        <sz val="8"/>
        <rFont val="Arial"/>
        <family val="2"/>
      </rPr>
      <t>WILKINSON Georgia</t>
    </r>
  </si>
  <si>
    <r>
      <rPr>
        <sz val="8"/>
        <rFont val="Arial"/>
        <family val="2"/>
      </rPr>
      <t>SCHOULTZ Clint</t>
    </r>
  </si>
  <si>
    <r>
      <rPr>
        <sz val="8"/>
        <rFont val="Arial"/>
        <family val="2"/>
      </rPr>
      <t>SALES James</t>
    </r>
  </si>
  <si>
    <r>
      <rPr>
        <sz val="8"/>
        <rFont val="Arial"/>
        <family val="2"/>
      </rPr>
      <t>GREEN Brendon</t>
    </r>
  </si>
  <si>
    <r>
      <rPr>
        <sz val="8"/>
        <rFont val="Arial"/>
        <family val="2"/>
      </rPr>
      <t>GLENDENNING Warwick</t>
    </r>
  </si>
  <si>
    <r>
      <rPr>
        <sz val="8"/>
        <rFont val="Arial"/>
        <family val="2"/>
      </rPr>
      <t>LACY Jackson</t>
    </r>
  </si>
  <si>
    <r>
      <rPr>
        <sz val="8"/>
        <rFont val="Arial"/>
        <family val="2"/>
      </rPr>
      <t>DAY Jill</t>
    </r>
  </si>
  <si>
    <r>
      <rPr>
        <sz val="8"/>
        <rFont val="Arial"/>
        <family val="2"/>
      </rPr>
      <t>DAVIN Tim</t>
    </r>
  </si>
  <si>
    <r>
      <rPr>
        <sz val="8"/>
        <rFont val="Arial"/>
        <family val="2"/>
      </rPr>
      <t>MOORE Miriam</t>
    </r>
  </si>
  <si>
    <r>
      <rPr>
        <sz val="8"/>
        <rFont val="Arial"/>
        <family val="2"/>
      </rPr>
      <t>ALLAN Rachel</t>
    </r>
  </si>
  <si>
    <r>
      <rPr>
        <sz val="8"/>
        <rFont val="Arial"/>
        <family val="2"/>
      </rPr>
      <t>FERNANDEZ Janryll</t>
    </r>
  </si>
  <si>
    <r>
      <rPr>
        <b/>
        <sz val="8"/>
        <rFont val="Arial"/>
        <family val="2"/>
      </rPr>
      <t>VOTES</t>
    </r>
  </si>
  <si>
    <r>
      <rPr>
        <b/>
        <sz val="8"/>
        <rFont val="Arial"/>
        <family val="2"/>
      </rPr>
      <t>CANDIDATE</t>
    </r>
  </si>
  <si>
    <r>
      <rPr>
        <b/>
        <sz val="8"/>
        <rFont val="Arial"/>
        <family val="2"/>
      </rPr>
      <t>ITER</t>
    </r>
  </si>
  <si>
    <r>
      <rPr>
        <sz val="8"/>
        <rFont val="Arial"/>
        <family val="2"/>
      </rPr>
      <t>excluded</t>
    </r>
  </si>
  <si>
    <r>
      <rPr>
        <sz val="8"/>
        <rFont val="Arial"/>
        <family val="2"/>
      </rPr>
      <t>elected</t>
    </r>
  </si>
  <si>
    <r>
      <rPr>
        <b/>
        <sz val="8"/>
        <rFont val="Arial"/>
        <family val="2"/>
      </rPr>
      <t>KEEP</t>
    </r>
  </si>
  <si>
    <r>
      <rPr>
        <b/>
        <sz val="8"/>
        <rFont val="Arial"/>
        <family val="2"/>
      </rPr>
      <t>QUOTA</t>
    </r>
  </si>
  <si>
    <r>
      <rPr>
        <b/>
        <sz val="8"/>
        <rFont val="Arial"/>
        <family val="2"/>
      </rPr>
      <t>NTV</t>
    </r>
  </si>
  <si>
    <r>
      <rPr>
        <b/>
        <sz val="8"/>
        <rFont val="Arial"/>
        <family val="2"/>
      </rPr>
      <t>STATUS</t>
    </r>
  </si>
  <si>
    <r>
      <rPr>
        <sz val="10"/>
        <rFont val="Arial"/>
        <family val="2"/>
      </rPr>
      <t>APANOWICZ, excluded at iteration 1, reason: withdrawn</t>
    </r>
  </si>
  <si>
    <r>
      <rPr>
        <sz val="10"/>
        <rFont val="Arial"/>
        <family val="2"/>
      </rPr>
      <t>TODD, elected at iteration 1, reason: There are 6 voted active candidate(s) and 6 seat(s). All voted active candidates elected.</t>
    </r>
  </si>
  <si>
    <r>
      <rPr>
        <sz val="10"/>
        <rFont val="Arial"/>
        <family val="2"/>
      </rPr>
      <t xml:space="preserve">RUDD, elected at iteration 1, reason: There are 6 voted active candidate(s) and 6 seat(s). All voted active candidates
</t>
    </r>
    <r>
      <rPr>
        <sz val="10"/>
        <rFont val="Arial"/>
        <family val="2"/>
      </rPr>
      <t>elected.</t>
    </r>
  </si>
  <si>
    <r>
      <rPr>
        <sz val="10"/>
        <rFont val="Arial"/>
        <family val="2"/>
      </rPr>
      <t>RENNER, elected at iteration 1, reason: There are 6 voted active candidate(s) and 6 seat(s). All voted active candidates elected.</t>
    </r>
  </si>
  <si>
    <r>
      <rPr>
        <sz val="10"/>
        <rFont val="Arial"/>
        <family val="2"/>
      </rPr>
      <t xml:space="preserve">REED, elected at iteration 1, reason: There are 6 voted active candidate(s) and 6 seat(s). All voted active candidates
</t>
    </r>
    <r>
      <rPr>
        <sz val="10"/>
        <rFont val="Arial"/>
        <family val="2"/>
      </rPr>
      <t>elected.</t>
    </r>
  </si>
  <si>
    <r>
      <rPr>
        <sz val="10"/>
        <rFont val="Arial"/>
        <family val="2"/>
      </rPr>
      <t>HOSKINS, elected at iteration 1, reason: There are 6 voted active candidate(s) and 6 seat(s). All voted active candidates elected.</t>
    </r>
  </si>
  <si>
    <r>
      <rPr>
        <sz val="10"/>
        <rFont val="Arial"/>
        <family val="2"/>
      </rPr>
      <t xml:space="preserve">GRACE, elected at iteration 1, reason: There are 6 voted active candidate(s) and 6 seat(s). All voted active candidates
</t>
    </r>
    <r>
      <rPr>
        <sz val="10"/>
        <rFont val="Arial"/>
        <family val="2"/>
      </rPr>
      <t>elected.</t>
    </r>
  </si>
  <si>
    <r>
      <rPr>
        <sz val="8"/>
        <rFont val="Arial"/>
        <family val="2"/>
      </rPr>
      <t>TODD Hamish</t>
    </r>
  </si>
  <si>
    <r>
      <rPr>
        <sz val="8"/>
        <rFont val="Arial"/>
        <family val="2"/>
      </rPr>
      <t>RUDD Wayne</t>
    </r>
  </si>
  <si>
    <r>
      <rPr>
        <sz val="8"/>
        <rFont val="Arial"/>
        <family val="2"/>
      </rPr>
      <t>RENNER Chris</t>
    </r>
  </si>
  <si>
    <r>
      <rPr>
        <sz val="8"/>
        <rFont val="Arial"/>
        <family val="2"/>
      </rPr>
      <t>REED Mark</t>
    </r>
  </si>
  <si>
    <r>
      <rPr>
        <sz val="8"/>
        <rFont val="Arial"/>
        <family val="2"/>
      </rPr>
      <t>HOSKINS Darren</t>
    </r>
  </si>
  <si>
    <r>
      <rPr>
        <sz val="8"/>
        <rFont val="Arial"/>
        <family val="2"/>
      </rPr>
      <t>GRACE Christine</t>
    </r>
  </si>
  <si>
    <r>
      <rPr>
        <sz val="8"/>
        <rFont val="Arial"/>
        <family val="2"/>
      </rPr>
      <t>APANOWICZ John</t>
    </r>
  </si>
  <si>
    <r>
      <rPr>
        <b/>
        <sz val="10"/>
        <rFont val="Arial"/>
        <family val="2"/>
      </rPr>
      <t xml:space="preserve">Mākara-Ōhāriu Community Board
</t>
    </r>
    <r>
      <rPr>
        <sz val="10"/>
        <rFont val="Arial"/>
        <family val="2"/>
      </rPr>
      <t>Result type: Final Number of vacancies: 6 Quota at first iteration: 0.</t>
    </r>
  </si>
  <si>
    <r>
      <rPr>
        <sz val="10"/>
        <rFont val="Arial"/>
        <family val="2"/>
      </rPr>
      <t>REWETI, excluded at iteration 2, reason: All available seats were filled</t>
    </r>
  </si>
  <si>
    <r>
      <rPr>
        <sz val="10"/>
        <rFont val="Arial"/>
        <family val="2"/>
      </rPr>
      <t>WI NEERA, elected at iteration 2, reason: Candidate received 872 votes and absolute majority of votes was 839</t>
    </r>
  </si>
  <si>
    <r>
      <rPr>
        <sz val="10"/>
        <rFont val="Arial"/>
        <family val="2"/>
      </rPr>
      <t>HAMLIN-PAENGA, excluded at iteration 1, reason: Candidate received the lowest vote count 329</t>
    </r>
  </si>
  <si>
    <r>
      <rPr>
        <sz val="8"/>
        <rFont val="Arial"/>
        <family val="2"/>
      </rPr>
      <t>HAMLIN-PAENGA Ali</t>
    </r>
  </si>
  <si>
    <r>
      <rPr>
        <sz val="8"/>
        <rFont val="Arial"/>
        <family val="2"/>
      </rPr>
      <t>REWETI Matthew</t>
    </r>
  </si>
  <si>
    <r>
      <rPr>
        <sz val="8"/>
        <rFont val="Arial"/>
        <family val="2"/>
      </rPr>
      <t>WI NEERA Nīkau</t>
    </r>
  </si>
  <si>
    <r>
      <rPr>
        <b/>
        <sz val="10"/>
        <rFont val="Arial"/>
        <family val="2"/>
      </rPr>
      <t xml:space="preserve">Te Whanganui-a-Tara Māori Ward
</t>
    </r>
    <r>
      <rPr>
        <sz val="10"/>
        <rFont val="Arial"/>
        <family val="2"/>
      </rPr>
      <t xml:space="preserve">Result type: Final Number of vacancies: 1
</t>
    </r>
    <r>
      <rPr>
        <sz val="10"/>
        <rFont val="Arial"/>
        <family val="2"/>
      </rPr>
      <t>Quota at first iteration: 888.</t>
    </r>
  </si>
  <si>
    <r>
      <rPr>
        <sz val="10"/>
        <rFont val="Arial"/>
        <family val="2"/>
      </rPr>
      <t>MUOLLO, excluded at iteration 10, reason: All available seats were filled</t>
    </r>
  </si>
  <si>
    <r>
      <rPr>
        <sz val="10"/>
        <rFont val="Arial"/>
        <family val="2"/>
      </rPr>
      <t>ABDURAHMAN, elected at iteration 10, reason: Candidate received 4013.025860132 votes and quota was 3611.309368295</t>
    </r>
  </si>
  <si>
    <r>
      <rPr>
        <sz val="10"/>
        <rFont val="Arial"/>
        <family val="2"/>
      </rPr>
      <t>DUDFIELD, excluded at iteration 9, reason: Candidate received the lowest vote count 1495.890420739, less than the second lowest by more than total surplus (141.586505838)</t>
    </r>
  </si>
  <si>
    <r>
      <rPr>
        <sz val="10"/>
        <rFont val="Arial"/>
        <family val="2"/>
      </rPr>
      <t>MACLEOD, excluded at iteration 8, reason: Candidate received the lowest vote count 805.776376477, less than the second lowest by more than total surplus (292.939201356)</t>
    </r>
  </si>
  <si>
    <r>
      <rPr>
        <sz val="10"/>
        <rFont val="Arial"/>
        <family val="2"/>
      </rPr>
      <t xml:space="preserve">COPPARD, excluded at iteration 7, reason: Candidate received the lowest vote count 761.504037666, less than the
</t>
    </r>
    <r>
      <rPr>
        <sz val="10"/>
        <rFont val="Arial"/>
        <family val="2"/>
      </rPr>
      <t>second lowest by more than total surplus (4.300148970)</t>
    </r>
  </si>
  <si>
    <r>
      <rPr>
        <sz val="10"/>
        <rFont val="Arial"/>
        <family val="2"/>
      </rPr>
      <t>AFEAKI, excluded at iteration 5, reason: Candidate received the lowest vote count 551.076983308, less than the second lowest by more than total surplus (77.479417806)</t>
    </r>
  </si>
  <si>
    <r>
      <rPr>
        <sz val="10"/>
        <rFont val="Arial"/>
        <family val="2"/>
      </rPr>
      <t xml:space="preserve">MOALA, excluded at iteration 4, reason: Candidate received the lowest vote count 439.403043894, less than the
</t>
    </r>
    <r>
      <rPr>
        <sz val="10"/>
        <rFont val="Arial"/>
        <family val="2"/>
      </rPr>
      <t>second lowest by more than total surplus (69.907399672)</t>
    </r>
  </si>
  <si>
    <r>
      <rPr>
        <sz val="10"/>
        <rFont val="Arial"/>
        <family val="2"/>
      </rPr>
      <t>BHANA, excluded at iteration 3, reason: Candidate received the lowest vote count 332.603557306, less than the second lowest by more than total surplus (36.575510443)</t>
    </r>
  </si>
  <si>
    <r>
      <rPr>
        <sz val="10"/>
        <rFont val="Arial"/>
        <family val="2"/>
      </rPr>
      <t xml:space="preserve">BHANA, excluded at iteration 2, reason: Candidate received the lowest vote count 262.170482300, less than the
</t>
    </r>
    <r>
      <rPr>
        <sz val="10"/>
        <rFont val="Arial"/>
        <family val="2"/>
      </rPr>
      <t>second lowest by more than total surplus (13.662148449)</t>
    </r>
  </si>
  <si>
    <r>
      <rPr>
        <sz val="10"/>
        <rFont val="Arial"/>
        <family val="2"/>
      </rPr>
      <t>FOON, elected at iteration 1, reason: Candidate received 4499.000000000 votes and quota was 4078.000000001</t>
    </r>
  </si>
  <si>
    <r>
      <rPr>
        <sz val="8"/>
        <rFont val="Arial"/>
        <family val="2"/>
      </rPr>
      <t>MOALA Ate</t>
    </r>
  </si>
  <si>
    <r>
      <rPr>
        <sz val="8"/>
        <rFont val="Arial"/>
        <family val="2"/>
      </rPr>
      <t>MACLEOD Iain Alasdair</t>
    </r>
  </si>
  <si>
    <r>
      <rPr>
        <sz val="8"/>
        <rFont val="Arial"/>
        <family val="2"/>
      </rPr>
      <t>DUDFIELD Chris</t>
    </r>
  </si>
  <si>
    <r>
      <rPr>
        <sz val="8"/>
        <rFont val="Arial"/>
        <family val="2"/>
      </rPr>
      <t>COPPARD Jonathan</t>
    </r>
  </si>
  <si>
    <r>
      <rPr>
        <sz val="8"/>
        <rFont val="Arial"/>
        <family val="2"/>
      </rPr>
      <t>BHANA Urmila</t>
    </r>
  </si>
  <si>
    <r>
      <rPr>
        <sz val="8"/>
        <rFont val="Arial"/>
        <family val="2"/>
      </rPr>
      <t>BHANA Dipak</t>
    </r>
  </si>
  <si>
    <r>
      <rPr>
        <sz val="8"/>
        <rFont val="Arial"/>
        <family val="2"/>
      </rPr>
      <t>AFEAKI Inoke</t>
    </r>
  </si>
  <si>
    <r>
      <rPr>
        <sz val="8"/>
        <rFont val="Arial"/>
        <family val="2"/>
      </rPr>
      <t>MUOLLO Paula</t>
    </r>
  </si>
  <si>
    <r>
      <rPr>
        <sz val="8"/>
        <rFont val="Arial"/>
        <family val="2"/>
      </rPr>
      <t>FOON Laurie</t>
    </r>
  </si>
  <si>
    <r>
      <rPr>
        <sz val="8"/>
        <rFont val="Arial"/>
        <family val="2"/>
      </rPr>
      <t>ABDURAHMAN Nureddin</t>
    </r>
  </si>
  <si>
    <r>
      <rPr>
        <b/>
        <sz val="10"/>
        <rFont val="Arial"/>
        <family val="2"/>
      </rPr>
      <t xml:space="preserve">Paekawakawa/Southern General Ward
</t>
    </r>
    <r>
      <rPr>
        <sz val="10"/>
        <rFont val="Arial"/>
        <family val="2"/>
      </rPr>
      <t xml:space="preserve">Result type: Final Number of vacancies: 2
</t>
    </r>
    <r>
      <rPr>
        <sz val="10"/>
        <rFont val="Arial"/>
        <family val="2"/>
      </rPr>
      <t>Quota at first iteration: 4,078.000000001</t>
    </r>
  </si>
  <si>
    <r>
      <rPr>
        <sz val="10"/>
        <rFont val="Arial"/>
        <family val="2"/>
      </rPr>
      <t>EDLIN, excluded at iteration 7, reason: All available seats were filled</t>
    </r>
  </si>
  <si>
    <r>
      <rPr>
        <sz val="10"/>
        <rFont val="Arial"/>
        <family val="2"/>
      </rPr>
      <t>FREE, elected at iteration 7, reason: Candidate received 3071.000000000 votes and quota was 3042.250000001</t>
    </r>
  </si>
  <si>
    <r>
      <rPr>
        <sz val="10"/>
        <rFont val="Arial"/>
        <family val="2"/>
      </rPr>
      <t>BROWN, elected at iteration 7, reason: Candidate received 3199.000000000 votes and quota was 3042.250000001</t>
    </r>
  </si>
  <si>
    <r>
      <rPr>
        <sz val="10"/>
        <rFont val="Arial"/>
        <family val="2"/>
      </rPr>
      <t>O'NEILL, elected at iteration 7, reason: Candidate received 3387.000000000 votes and quota was 3042.250000001</t>
    </r>
  </si>
  <si>
    <r>
      <rPr>
        <sz val="10"/>
        <rFont val="Arial"/>
        <family val="2"/>
      </rPr>
      <t>SCOWCROFT, excluded at iteration 6, reason: Candidate received the lowest vote count 1982.000000000, less than the second lowest by more than total surplus (0.000000000)</t>
    </r>
  </si>
  <si>
    <r>
      <rPr>
        <sz val="10"/>
        <rFont val="Arial"/>
        <family val="2"/>
      </rPr>
      <t>AH KUOI, excluded at iteration 5, reason: Candidate received the lowest vote count 1289.000000000, less than the second lowest by more than total surplus (0.000000000)</t>
    </r>
  </si>
  <si>
    <r>
      <rPr>
        <sz val="10"/>
        <rFont val="Arial"/>
        <family val="2"/>
      </rPr>
      <t>MEYER, excluded at iteration 4, reason: Candidate received the lowest vote count 893.000000000, less than the second lowest by more than total surplus (0.000000000)</t>
    </r>
  </si>
  <si>
    <r>
      <rPr>
        <sz val="10"/>
        <rFont val="Arial"/>
        <family val="2"/>
      </rPr>
      <t>GOULDEN, excluded at iteration 3, reason: Candidate received the lowest vote count 665.000000000, less than the second lowest by more than total surplus (0.000000000)</t>
    </r>
  </si>
  <si>
    <r>
      <rPr>
        <sz val="10"/>
        <rFont val="Arial"/>
        <family val="2"/>
      </rPr>
      <t>GILMORE, excluded at iteration 2, reason: Candidate received the lowest vote count 314.000000000, less than the second lowest by more than total surplus (0.000000000)</t>
    </r>
  </si>
  <si>
    <r>
      <rPr>
        <sz val="10"/>
        <rFont val="Arial"/>
        <family val="2"/>
      </rPr>
      <t>PREMA, excluded at iteration 1, reason: Candidate received the lowest vote count 51.000000000, less than the second lowest by more than total surplus (0.000000000)</t>
    </r>
  </si>
  <si>
    <r>
      <rPr>
        <sz val="8"/>
        <rFont val="Arial"/>
        <family val="2"/>
      </rPr>
      <t>SCOWCROFT Luana</t>
    </r>
  </si>
  <si>
    <r>
      <rPr>
        <sz val="8"/>
        <rFont val="Arial"/>
        <family val="2"/>
      </rPr>
      <t>PREMA Atul</t>
    </r>
  </si>
  <si>
    <r>
      <rPr>
        <sz val="8"/>
        <rFont val="Arial"/>
        <family val="2"/>
      </rPr>
      <t>MEYER Nathan</t>
    </r>
  </si>
  <si>
    <r>
      <rPr>
        <sz val="8"/>
        <rFont val="Arial"/>
        <family val="2"/>
      </rPr>
      <t>GOULDEN Rob</t>
    </r>
  </si>
  <si>
    <r>
      <rPr>
        <sz val="8"/>
        <rFont val="Arial"/>
        <family val="2"/>
      </rPr>
      <t>GILMORE Aaron</t>
    </r>
  </si>
  <si>
    <r>
      <rPr>
        <sz val="8"/>
        <rFont val="Arial"/>
        <family val="2"/>
      </rPr>
      <t>AH KUOI Ken</t>
    </r>
  </si>
  <si>
    <r>
      <rPr>
        <sz val="8"/>
        <rFont val="Arial"/>
        <family val="2"/>
      </rPr>
      <t>EDLIN Steph</t>
    </r>
  </si>
  <si>
    <r>
      <rPr>
        <sz val="8"/>
        <rFont val="Arial"/>
        <family val="2"/>
      </rPr>
      <t>FREE Sarah</t>
    </r>
  </si>
  <si>
    <r>
      <rPr>
        <sz val="8"/>
        <rFont val="Arial"/>
        <family val="2"/>
      </rPr>
      <t>BROWN Tim</t>
    </r>
  </si>
  <si>
    <r>
      <rPr>
        <sz val="8"/>
        <rFont val="Arial"/>
        <family val="2"/>
      </rPr>
      <t>O'NEILL Teri</t>
    </r>
  </si>
  <si>
    <r>
      <rPr>
        <sz val="10"/>
        <rFont val="Arial"/>
        <family val="2"/>
      </rPr>
      <t xml:space="preserve">TIEFENBACHER, excluded at iteration 7, reason: Candidate received the lowest vote count 1504.147458726, less than the second lowest by more than total surplus (108.034270300)
</t>
    </r>
    <r>
      <rPr>
        <sz val="10"/>
        <rFont val="Arial"/>
        <family val="2"/>
      </rPr>
      <t xml:space="preserve">YOUNG, elected at iteration 8, reason: Candidate received 3209.257197800 votes and quota was 2863.757373538
</t>
    </r>
    <r>
      <rPr>
        <sz val="10"/>
        <rFont val="Arial"/>
        <family val="2"/>
      </rPr>
      <t xml:space="preserve">PANNETT, elected at iteration 10, reason: Candidate received 2841.876826224 votes and quota was 2799.947510805
</t>
    </r>
    <r>
      <rPr>
        <sz val="10"/>
        <rFont val="Arial"/>
        <family val="2"/>
      </rPr>
      <t xml:space="preserve">AL-RUBAYEE, excluded at iteration 10, reason: All available seats were filled
</t>
    </r>
    <r>
      <rPr>
        <b/>
        <sz val="10"/>
        <rFont val="Arial"/>
        <family val="2"/>
      </rPr>
      <t xml:space="preserve">Motukairangi/Eastern General Ward
</t>
    </r>
    <r>
      <rPr>
        <sz val="10"/>
        <rFont val="Arial"/>
        <family val="2"/>
      </rPr>
      <t xml:space="preserve">Result type: Final Number of vacancies: 3
</t>
    </r>
    <r>
      <rPr>
        <sz val="10"/>
        <rFont val="Arial"/>
        <family val="2"/>
      </rPr>
      <t>Quota at first iteration: 3,274.500000001</t>
    </r>
  </si>
  <si>
    <r>
      <rPr>
        <sz val="10"/>
        <rFont val="Arial"/>
        <family val="2"/>
      </rPr>
      <t xml:space="preserve">O'LOUGHLIN, excluded at iteration 6, reason: Candidate received the lowest vote count 1047.837943620, less than
</t>
    </r>
    <r>
      <rPr>
        <sz val="10"/>
        <rFont val="Arial"/>
        <family val="2"/>
      </rPr>
      <t>the second lowest by more than total surplus (109.050978779)</t>
    </r>
  </si>
  <si>
    <r>
      <rPr>
        <sz val="10"/>
        <rFont val="Arial"/>
        <family val="2"/>
      </rPr>
      <t>BLAKE, excluded at iteration 5, reason: Candidate received the lowest vote count 773.404429195, less than the second lowest by more than total surplus (66.330075453)</t>
    </r>
  </si>
  <si>
    <r>
      <rPr>
        <sz val="10"/>
        <rFont val="Arial"/>
        <family val="2"/>
      </rPr>
      <t>MARKWICK, excluded at iteration 4, reason: Candidate received the lowest vote count 429.189593760, less than the second lowest by more than total surplus (20.116260779)</t>
    </r>
  </si>
  <si>
    <r>
      <rPr>
        <sz val="10"/>
        <rFont val="Arial"/>
        <family val="2"/>
      </rPr>
      <t>HANCOX, excluded at iteration 3, reason: Candidate received the lowest vote count 285.987727500, less than the second lowest by more than total surplus (11.091787749)</t>
    </r>
  </si>
  <si>
    <r>
      <rPr>
        <sz val="10"/>
        <rFont val="Arial"/>
        <family val="2"/>
      </rPr>
      <t>GYAW, excluded at iteration 2, reason: Candidate received the lowest vote count 76.200873990, less than the second lowest by more than total surplus (68.211463334)</t>
    </r>
  </si>
  <si>
    <r>
      <rPr>
        <sz val="10"/>
        <rFont val="Arial"/>
        <family val="2"/>
      </rPr>
      <t>PAUL, elected at iteration 1, reason: Candidate received 5206.000000000 votes and quota was 3123.250000001</t>
    </r>
  </si>
  <si>
    <r>
      <rPr>
        <sz val="8"/>
        <rFont val="Arial"/>
        <family val="2"/>
      </rPr>
      <t>TIEFENBACHER Karl</t>
    </r>
  </si>
  <si>
    <r>
      <rPr>
        <sz val="8"/>
        <rFont val="Arial"/>
        <family val="2"/>
      </rPr>
      <t>O'LOUGHLIN Jane</t>
    </r>
  </si>
  <si>
    <r>
      <rPr>
        <sz val="8"/>
        <rFont val="Arial"/>
        <family val="2"/>
      </rPr>
      <t>MARKWICK Jonathan</t>
    </r>
  </si>
  <si>
    <r>
      <rPr>
        <sz val="8"/>
        <rFont val="Arial"/>
        <family val="2"/>
      </rPr>
      <t>HANCOX Nicholas</t>
    </r>
  </si>
  <si>
    <r>
      <rPr>
        <sz val="8"/>
        <rFont val="Arial"/>
        <family val="2"/>
      </rPr>
      <t>GYAW Zan Rai</t>
    </r>
  </si>
  <si>
    <r>
      <rPr>
        <sz val="8"/>
        <rFont val="Arial"/>
        <family val="2"/>
      </rPr>
      <t>BLAKE Ellen</t>
    </r>
  </si>
  <si>
    <r>
      <rPr>
        <sz val="8"/>
        <rFont val="Arial"/>
        <family val="2"/>
      </rPr>
      <t>AL-RUBAYEE Afnan</t>
    </r>
  </si>
  <si>
    <r>
      <rPr>
        <sz val="8"/>
        <rFont val="Arial"/>
        <family val="2"/>
      </rPr>
      <t>PAUL Tamatha</t>
    </r>
  </si>
  <si>
    <r>
      <rPr>
        <sz val="8"/>
        <rFont val="Arial"/>
        <family val="2"/>
      </rPr>
      <t>YOUNG Nicola Mary Jacobina</t>
    </r>
  </si>
  <si>
    <r>
      <rPr>
        <sz val="8"/>
        <rFont val="Arial"/>
        <family val="2"/>
      </rPr>
      <t>PANNETT Iona</t>
    </r>
  </si>
  <si>
    <r>
      <rPr>
        <sz val="10"/>
        <rFont val="Arial"/>
        <family val="2"/>
      </rPr>
      <t xml:space="preserve">BOTHMA, excluded at iteration 4, reason: Candidate received the lowest vote count 607.000000000, less than the
</t>
    </r>
    <r>
      <rPr>
        <sz val="10"/>
        <rFont val="Arial"/>
        <family val="2"/>
      </rPr>
      <t>second lowest by more than total surplus (137.749999999)</t>
    </r>
  </si>
  <si>
    <r>
      <rPr>
        <sz val="10"/>
        <rFont val="Arial"/>
        <family val="2"/>
      </rPr>
      <t>CHUNG, elected at iteration 4, reason: Candidate received 4401.000000000 votes and quota was 4263.250000001</t>
    </r>
  </si>
  <si>
    <r>
      <rPr>
        <sz val="10"/>
        <rFont val="Arial"/>
        <family val="2"/>
      </rPr>
      <t xml:space="preserve">MCKENZIE, excluded at iteration 3, reason: Candidate received the lowest vote count 379.000000000, less than the
</t>
    </r>
    <r>
      <rPr>
        <sz val="10"/>
        <rFont val="Arial"/>
        <family val="2"/>
      </rPr>
      <t>second lowest by more than total surplus (0.000000000)</t>
    </r>
  </si>
  <si>
    <r>
      <rPr>
        <sz val="10"/>
        <rFont val="Arial"/>
        <family val="2"/>
      </rPr>
      <t>BHARGAVA, excluded at iteration 2, reason: Candidate received the lowest vote count 173.000000000, less than the second lowest by more than total surplus (0.000000000)</t>
    </r>
  </si>
  <si>
    <r>
      <rPr>
        <sz val="10"/>
        <rFont val="Arial"/>
        <family val="2"/>
      </rPr>
      <t xml:space="preserve">GARSIDE, excluded at iteration 1, reason: Candidate received the lowest vote count 113.000000000, less than the
</t>
    </r>
    <r>
      <rPr>
        <sz val="10"/>
        <rFont val="Arial"/>
        <family val="2"/>
      </rPr>
      <t>second lowest by more than total surplus (0.000000000)</t>
    </r>
  </si>
  <si>
    <r>
      <rPr>
        <sz val="8"/>
        <rFont val="Arial"/>
        <family val="2"/>
      </rPr>
      <t>MCKENZIE Barbara</t>
    </r>
  </si>
  <si>
    <r>
      <rPr>
        <sz val="8"/>
        <rFont val="Arial"/>
        <family val="2"/>
      </rPr>
      <t>MASON Bob</t>
    </r>
  </si>
  <si>
    <r>
      <rPr>
        <sz val="8"/>
        <rFont val="Arial"/>
        <family val="2"/>
      </rPr>
      <t>HASTIE Kelvin</t>
    </r>
  </si>
  <si>
    <r>
      <rPr>
        <sz val="8"/>
        <rFont val="Arial"/>
        <family val="2"/>
      </rPr>
      <t>GARSIDE Alexander</t>
    </r>
  </si>
  <si>
    <r>
      <rPr>
        <sz val="8"/>
        <rFont val="Arial"/>
        <family val="2"/>
      </rPr>
      <t>BOTHMA Ryan</t>
    </r>
  </si>
  <si>
    <r>
      <rPr>
        <sz val="8"/>
        <rFont val="Arial"/>
        <family val="2"/>
      </rPr>
      <t>BHARGAVA Kush</t>
    </r>
  </si>
  <si>
    <r>
      <rPr>
        <sz val="8"/>
        <rFont val="Arial"/>
        <family val="2"/>
      </rPr>
      <t>BALDWIN Heather</t>
    </r>
  </si>
  <si>
    <r>
      <rPr>
        <sz val="8"/>
        <rFont val="Arial"/>
        <family val="2"/>
      </rPr>
      <t>PATTERSON Lachlan</t>
    </r>
  </si>
  <si>
    <r>
      <rPr>
        <sz val="8"/>
        <rFont val="Arial"/>
        <family val="2"/>
      </rPr>
      <t>MATTHEWS Rebecca</t>
    </r>
  </si>
  <si>
    <r>
      <rPr>
        <sz val="8"/>
        <rFont val="Arial"/>
        <family val="2"/>
      </rPr>
      <t>CALVERT Diane</t>
    </r>
  </si>
  <si>
    <r>
      <rPr>
        <sz val="8"/>
        <rFont val="Arial"/>
        <family val="2"/>
      </rPr>
      <t>CHUNG Ray</t>
    </r>
  </si>
  <si>
    <r>
      <rPr>
        <sz val="10"/>
        <rFont val="Arial"/>
        <family val="2"/>
      </rPr>
      <t xml:space="preserve">second lowest by more than total surplus (0.000000000)
</t>
    </r>
    <r>
      <rPr>
        <sz val="10"/>
        <rFont val="Arial"/>
        <family val="2"/>
      </rPr>
      <t xml:space="preserve">PETERS, excluded at iteration 4, reason: Candidate received the lowest vote count 1211.000000000, less than the second lowest by more than total surplus (0.000000000)
</t>
    </r>
    <r>
      <rPr>
        <sz val="10"/>
        <rFont val="Arial"/>
        <family val="2"/>
      </rPr>
      <t xml:space="preserve">PARKINSON, excluded at iteration 5, reason: Candidate received the lowest vote count 1501.000000000, less than the second lowest by more than total surplus (0.000000000)
</t>
    </r>
    <r>
      <rPr>
        <sz val="10"/>
        <rFont val="Arial"/>
        <family val="2"/>
      </rPr>
      <t xml:space="preserve">QI, excluded at iteration 6, reason: Candidate received the lowest vote count 2060.000000000, less than the second lowest by more than total surplus (0.000000000)
</t>
    </r>
    <r>
      <rPr>
        <sz val="10"/>
        <rFont val="Arial"/>
        <family val="2"/>
      </rPr>
      <t xml:space="preserve">MCNULTY, elected at iteration 7, reason: Candidate received 3421.000000000 votes and quota was 3122.750000001 RANDLE, elected at iteration 7, reason: Candidate received 3381.000000000 votes and quota was 3122.750000001
</t>
    </r>
    <r>
      <rPr>
        <sz val="10"/>
        <rFont val="Arial"/>
        <family val="2"/>
      </rPr>
      <t xml:space="preserve">APANOWICZ, elected at iteration 9, reason: Candidate received 3088.294505522 votes and quota was 3064.673199771
</t>
    </r>
    <r>
      <rPr>
        <sz val="10"/>
        <rFont val="Arial"/>
        <family val="2"/>
      </rPr>
      <t xml:space="preserve">CONDIE, excluded at iteration 9, reason: All available seats were filled
</t>
    </r>
    <r>
      <rPr>
        <b/>
        <sz val="10"/>
        <rFont val="Arial"/>
        <family val="2"/>
      </rPr>
      <t xml:space="preserve">Wharangi/Onslow-Western General Ward
</t>
    </r>
    <r>
      <rPr>
        <sz val="10"/>
        <rFont val="Arial"/>
        <family val="2"/>
      </rPr>
      <t xml:space="preserve">Result type: Final Number of vacancies: 3
</t>
    </r>
    <r>
      <rPr>
        <sz val="10"/>
        <rFont val="Arial"/>
        <family val="2"/>
      </rPr>
      <t>Quota at first iteration: 4,277.500000001</t>
    </r>
  </si>
  <si>
    <r>
      <rPr>
        <sz val="10"/>
        <rFont val="Arial"/>
        <family val="2"/>
      </rPr>
      <t>ANNAMALAI, excluded at iteration 3, reason: Candidate received the lowest vote count 667.000000000, less than the</t>
    </r>
  </si>
  <si>
    <r>
      <rPr>
        <sz val="10"/>
        <rFont val="Arial"/>
        <family val="2"/>
      </rPr>
      <t xml:space="preserve">SULLIVAN, excluded at iteration 2, reason: Candidate received the lowest vote count 199.000000000, less than the
</t>
    </r>
    <r>
      <rPr>
        <sz val="10"/>
        <rFont val="Arial"/>
        <family val="2"/>
      </rPr>
      <t>second lowest by more than total surplus (0.000000000)</t>
    </r>
  </si>
  <si>
    <r>
      <rPr>
        <sz val="10"/>
        <rFont val="Arial"/>
        <family val="2"/>
      </rPr>
      <t>SALES, excluded at iteration 1, reason: Candidate received the lowest vote count 150.000000000, less than the second lowest by more than total surplus (0.000000000)</t>
    </r>
  </si>
  <si>
    <r>
      <rPr>
        <sz val="8"/>
        <rFont val="Arial"/>
        <family val="2"/>
      </rPr>
      <t>SULLIVAN James</t>
    </r>
  </si>
  <si>
    <r>
      <rPr>
        <sz val="8"/>
        <rFont val="Arial"/>
        <family val="2"/>
      </rPr>
      <t>QI Rachel</t>
    </r>
  </si>
  <si>
    <r>
      <rPr>
        <sz val="8"/>
        <rFont val="Arial"/>
        <family val="2"/>
      </rPr>
      <t>PETERS John</t>
    </r>
  </si>
  <si>
    <r>
      <rPr>
        <sz val="8"/>
        <rFont val="Arial"/>
        <family val="2"/>
      </rPr>
      <t>PARKINSON Robyn</t>
    </r>
  </si>
  <si>
    <r>
      <rPr>
        <sz val="8"/>
        <rFont val="Arial"/>
        <family val="2"/>
      </rPr>
      <t>ANNAMALAI Raveen</t>
    </r>
  </si>
  <si>
    <r>
      <rPr>
        <sz val="8"/>
        <rFont val="Arial"/>
        <family val="2"/>
      </rPr>
      <t>CONDIE Jenny</t>
    </r>
  </si>
  <si>
    <r>
      <rPr>
        <sz val="8"/>
        <rFont val="Arial"/>
        <family val="2"/>
      </rPr>
      <t>MCNULTY Ben</t>
    </r>
  </si>
  <si>
    <r>
      <rPr>
        <sz val="8"/>
        <rFont val="Arial"/>
        <family val="2"/>
      </rPr>
      <t>RANDLE Tony</t>
    </r>
  </si>
  <si>
    <r>
      <rPr>
        <sz val="10"/>
        <rFont val="Arial"/>
        <family val="2"/>
      </rPr>
      <t>FOSTER, excluded at iteration 7, reason: All available seats were filled</t>
    </r>
  </si>
  <si>
    <r>
      <rPr>
        <sz val="10"/>
        <rFont val="Arial"/>
        <family val="2"/>
      </rPr>
      <t>EAGLE, excluded at iteration 7, reason: All available seats were filled</t>
    </r>
  </si>
  <si>
    <r>
      <rPr>
        <sz val="10"/>
        <rFont val="Arial"/>
        <family val="2"/>
      </rPr>
      <t>WHANAU, elected at iteration 7, reason: Candidate received 34462 votes and absolute majority of votes was 32881</t>
    </r>
  </si>
  <si>
    <r>
      <rPr>
        <sz val="10"/>
        <rFont val="Arial"/>
        <family val="2"/>
      </rPr>
      <t>CHUNG, excluded at iteration 6, reason: Candidate received the lowest vote count 12670</t>
    </r>
  </si>
  <si>
    <r>
      <rPr>
        <sz val="10"/>
        <rFont val="Arial"/>
        <family val="2"/>
      </rPr>
      <t>DUDFIELD, excluded at iteration 5, reason: Candidate received the lowest vote count 2960</t>
    </r>
  </si>
  <si>
    <r>
      <rPr>
        <sz val="10"/>
        <rFont val="Arial"/>
        <family val="2"/>
      </rPr>
      <t>HASTIE, excluded at iteration 4, reason: Candidate received the lowest vote count 2208</t>
    </r>
  </si>
  <si>
    <r>
      <rPr>
        <sz val="10"/>
        <rFont val="Arial"/>
        <family val="2"/>
      </rPr>
      <t>MCKENZIE, excluded at iteration 3, reason: Candidate received the lowest vote count 1341</t>
    </r>
  </si>
  <si>
    <r>
      <rPr>
        <sz val="10"/>
        <rFont val="Arial"/>
        <family val="2"/>
      </rPr>
      <t>BLAKE, excluded at iteration 2, reason: Candidate received the lowest vote count 1116</t>
    </r>
  </si>
  <si>
    <r>
      <rPr>
        <sz val="10"/>
        <rFont val="Arial"/>
        <family val="2"/>
      </rPr>
      <t>MCDONALD, excluded at iteration 1, reason: Candidate received the lowest vote count 385</t>
    </r>
  </si>
  <si>
    <r>
      <rPr>
        <sz val="8"/>
        <rFont val="Arial"/>
        <family val="2"/>
      </rPr>
      <t>MCDONALD Don Newtown</t>
    </r>
  </si>
  <si>
    <r>
      <rPr>
        <sz val="8"/>
        <rFont val="Arial"/>
        <family val="2"/>
      </rPr>
      <t>EAGLE Paul</t>
    </r>
  </si>
  <si>
    <r>
      <rPr>
        <sz val="8"/>
        <rFont val="Arial"/>
        <family val="2"/>
      </rPr>
      <t>FOSTER Andy</t>
    </r>
  </si>
  <si>
    <r>
      <rPr>
        <sz val="8"/>
        <rFont val="Arial"/>
        <family val="2"/>
      </rPr>
      <t>WHANAU Tory</t>
    </r>
  </si>
  <si>
    <r>
      <rPr>
        <b/>
        <sz val="14"/>
        <rFont val="Arial"/>
        <family val="2"/>
      </rPr>
      <t xml:space="preserve">Wellington City Council
</t>
    </r>
    <r>
      <rPr>
        <b/>
        <sz val="12"/>
        <rFont val="Arial"/>
        <family val="2"/>
      </rPr>
      <t>2022 Triennial Elections</t>
    </r>
  </si>
  <si>
    <r>
      <rPr>
        <b/>
        <sz val="10"/>
        <rFont val="Arial"/>
        <family val="2"/>
      </rPr>
      <t xml:space="preserve">Mayor
</t>
    </r>
    <r>
      <rPr>
        <sz val="10"/>
        <rFont val="Arial"/>
        <family val="2"/>
      </rPr>
      <t xml:space="preserve">Result type: Final Number of vacancies: 1
Quota at first iteration: 36,013.
</t>
    </r>
    <r>
      <rPr>
        <b/>
        <sz val="10"/>
        <rFont val="Arial"/>
        <family val="2"/>
      </rPr>
      <t xml:space="preserve">Legend...
</t>
    </r>
    <r>
      <rPr>
        <sz val="10"/>
        <rFont val="Arial"/>
        <family val="2"/>
      </rPr>
      <t>ITER               The iteration number at which a candidate is elected or rejected  VOTES           The votes received by the candidate at the point of election or exclusion QUOTA          The quota or the absolute majority determined at the iteration
NTV                The number of non-transferable votes determined at the iteration KEEP             The candidate's final keep value determined at the last iteration SURPLUS      The number of transferable votes at the iteration</t>
    </r>
  </si>
  <si>
    <t>Wellington</t>
  </si>
  <si>
    <t>John Apanowicz </t>
  </si>
  <si>
    <r>
      <rPr>
        <b/>
        <sz val="10"/>
        <rFont val="Arial"/>
        <family val="2"/>
      </rPr>
      <t xml:space="preserve">Takapū/Northern General Ward
</t>
    </r>
    <r>
      <rPr>
        <sz val="10"/>
        <rFont val="Arial"/>
        <family val="2"/>
      </rPr>
      <t>Result type: Final Number of vacancies: 3
Quota at first iteration: 3,394.500000001</t>
    </r>
  </si>
  <si>
    <r>
      <t> </t>
    </r>
    <r>
      <rPr>
        <b/>
        <sz val="11"/>
        <color rgb="FF000000"/>
        <rFont val="Inherit"/>
      </rPr>
      <t>9</t>
    </r>
  </si>
  <si>
    <r>
      <rPr>
        <sz val="10"/>
        <rFont val="Arial"/>
        <family val="2"/>
      </rPr>
      <t xml:space="preserve">MASON, excluded at iteration 5, reason: Candidate received the lowest vote count 873.084866800, less than the second lowest by more than total surplus (157.340053201)
BALDWIN, excluded at iteration 6, reason: Candidate received the lowest vote count 1161.680794889, less than the second lowest by more than total surplus (165.654846944)
CALVERT, elected at iteration 7, reason: Candidate received 4396.776211704 votes and quota was 4167.276812338
HASTIE, excluded at iteration 7, reason: Candidate received the lowest vote count 1724.249328532, less than the second lowest by more than total surplus (525.357421836)
MATTHEWS, elected at iteration 9, reason: Candidate received 4219.265185203 votes and quota was 3948.693944332
PATTERSON, excluded at iteration 9, reason: All available seats were filled
</t>
    </r>
    <r>
      <rPr>
        <b/>
        <sz val="10"/>
        <rFont val="Arial"/>
        <family val="2"/>
      </rPr>
      <t xml:space="preserve">Pukehīnau/Lambton General Ward
</t>
    </r>
    <r>
      <rPr>
        <sz val="10"/>
        <rFont val="Arial"/>
        <family val="2"/>
      </rPr>
      <t>Result type: Final Number of vacancies: 3
Quota at first iteration: 3,123.250000001</t>
    </r>
  </si>
  <si>
    <r>
      <rPr>
        <b/>
        <sz val="10"/>
        <rFont val="Arial"/>
        <family val="2"/>
      </rPr>
      <t xml:space="preserve">Tawa Community Board </t>
    </r>
    <r>
      <rPr>
        <sz val="10"/>
        <rFont val="Arial"/>
        <family val="2"/>
      </rPr>
      <t>Result type: Final Number of vacancies: 6
Quota at first iteration: 599.857142858</t>
    </r>
  </si>
  <si>
    <t>This sheet</t>
  </si>
  <si>
    <t>Full results</t>
  </si>
  <si>
    <t xml:space="preserve">I am unable to reconcile the quotas from the full results with the document count from the returns.  </t>
  </si>
  <si>
    <t>nDocuments</t>
  </si>
  <si>
    <t>https://www.legislation.govt.nz/regulation/public/2001/0145/latest/whole.html#DLM57125</t>
  </si>
  <si>
    <t>The table below was obtained by Export into spreadsheet using Acrobat Pro v2023.001…. (it's a continuous release, so the table may not be reproducible!)</t>
  </si>
  <si>
    <t>The quota is miscomputed?  A non-trivial fraction of households stuff multiple ballots into a single voting envelope?</t>
  </si>
  <si>
    <t>I compute the number of valid ballots (nBallots) from the initial quota, the number of positions, and the formula in clause 5 of NZ LER 2001 Appendix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</si>
</sst>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
    <numFmt numFmtId="165" formatCode="#,##0.000000000"/>
  </numFmts>
  <fonts count="21">
    <font>
      <sz val="11"/>
      <color theme="1"/>
      <name val="Calibri"/>
      <family val="2"/>
      <scheme val="minor"/>
    </font>
    <font>
      <sz val="11"/>
      <color theme="1"/>
      <name val="Calibri"/>
      <family val="2"/>
      <scheme val="minor"/>
    </font>
    <font>
      <b/>
      <sz val="11"/>
      <color theme="1"/>
      <name val="Calibri"/>
      <family val="2"/>
      <scheme val="minor"/>
    </font>
    <font>
      <sz val="7"/>
      <color rgb="FF000000"/>
      <name val="Inherit"/>
    </font>
    <font>
      <b/>
      <sz val="7"/>
      <color rgb="FF000000"/>
      <name val="Inherit"/>
    </font>
    <font>
      <sz val="7"/>
      <color rgb="FF000000"/>
      <name val="Inherit"/>
    </font>
    <font>
      <u/>
      <sz val="11"/>
      <color theme="10"/>
      <name val="Calibri"/>
      <family val="2"/>
      <scheme val="minor"/>
    </font>
    <font>
      <sz val="11"/>
      <color rgb="FF333333"/>
      <name val="Calibri"/>
      <family val="2"/>
      <scheme val="minor"/>
    </font>
    <font>
      <b/>
      <sz val="11"/>
      <color rgb="FF333333"/>
      <name val="Calibri"/>
      <family val="2"/>
      <scheme val="minor"/>
    </font>
    <font>
      <sz val="10"/>
      <color rgb="FF000000"/>
      <name val="Times New Roman"/>
      <family val="1"/>
    </font>
    <font>
      <sz val="10"/>
      <name val="Arial"/>
      <family val="2"/>
    </font>
    <font>
      <b/>
      <sz val="10"/>
      <name val="Arial"/>
      <family val="2"/>
    </font>
    <font>
      <sz val="8"/>
      <color rgb="FF000000"/>
      <name val="Arial"/>
      <family val="2"/>
    </font>
    <font>
      <sz val="8"/>
      <name val="Arial"/>
      <family val="2"/>
    </font>
    <font>
      <b/>
      <sz val="8"/>
      <name val="Arial"/>
      <family val="2"/>
    </font>
    <font>
      <b/>
      <sz val="14"/>
      <name val="Arial"/>
      <family val="2"/>
    </font>
    <font>
      <b/>
      <sz val="12"/>
      <name val="Arial"/>
      <family val="2"/>
    </font>
    <font>
      <sz val="11"/>
      <color rgb="FF000000"/>
      <name val="Calibri"/>
      <family val="2"/>
      <scheme val="minor"/>
    </font>
    <font>
      <sz val="11"/>
      <color rgb="FF000000"/>
      <name val="Calibri"/>
      <family val="2"/>
      <scheme val="minor"/>
    </font>
    <font>
      <b/>
      <sz val="11"/>
      <color rgb="FF000000"/>
      <name val="Inherit"/>
    </font>
    <font>
      <b/>
      <sz val="11"/>
      <color rgb="FF000000"/>
      <name val="Calibri"/>
      <family val="2"/>
      <scheme val="minor"/>
    </font>
  </fonts>
  <fills count="4">
    <fill>
      <patternFill patternType="none"/>
    </fill>
    <fill>
      <patternFill patternType="gray125"/>
    </fill>
    <fill>
      <patternFill patternType="solid">
        <fgColor rgb="FFF9F9F9"/>
        <bgColor indexed="64"/>
      </patternFill>
    </fill>
    <fill>
      <patternFill patternType="solid">
        <fgColor rgb="FFFFFFFF"/>
        <bgColor indexed="64"/>
      </patternFill>
    </fill>
  </fills>
  <borders count="2">
    <border>
      <left/>
      <right/>
      <top/>
      <bottom/>
      <diagonal/>
    </border>
    <border>
      <left/>
      <right/>
      <top/>
      <bottom style="medium">
        <color rgb="FFDDDDDD"/>
      </bottom>
      <diagonal/>
    </border>
  </borders>
  <cellStyleXfs count="3">
    <xf numFmtId="0" fontId="0" fillId="0" borderId="0"/>
    <xf numFmtId="0" fontId="6" fillId="0" borderId="0" applyNumberFormat="0" applyFill="0" applyBorder="0" applyAlignment="0" applyProtection="0"/>
    <xf numFmtId="0" fontId="9" fillId="0" borderId="0"/>
  </cellStyleXfs>
  <cellXfs count="108">
    <xf numFmtId="0" fontId="0" fillId="0" borderId="0" xfId="0"/>
    <xf numFmtId="0" fontId="3" fillId="0" borderId="0" xfId="0" applyFont="1" applyAlignment="1">
      <alignment vertical="center" wrapText="1"/>
    </xf>
    <xf numFmtId="0" fontId="4" fillId="0" borderId="0" xfId="0" applyFont="1" applyAlignment="1">
      <alignment horizontal="left" vertical="center" wrapText="1"/>
    </xf>
    <xf numFmtId="0" fontId="5" fillId="0" borderId="0" xfId="0" applyFont="1" applyAlignment="1">
      <alignment vertical="center" wrapText="1"/>
    </xf>
    <xf numFmtId="0" fontId="5" fillId="0" borderId="0" xfId="0" applyFont="1" applyAlignment="1">
      <alignment horizontal="left" vertical="center" wrapText="1"/>
    </xf>
    <xf numFmtId="0" fontId="3" fillId="0" borderId="0" xfId="0" applyFont="1" applyAlignment="1">
      <alignment horizontal="right" vertical="center" wrapText="1"/>
    </xf>
    <xf numFmtId="0" fontId="5" fillId="0" borderId="0" xfId="0" applyFont="1" applyAlignment="1">
      <alignment horizontal="right" vertical="center" wrapText="1"/>
    </xf>
    <xf numFmtId="0" fontId="3" fillId="0" borderId="0" xfId="0" applyFont="1" applyAlignment="1">
      <alignment horizontal="left" vertical="center" wrapText="1"/>
    </xf>
    <xf numFmtId="4" fontId="0" fillId="0" borderId="0" xfId="0" applyNumberFormat="1"/>
    <xf numFmtId="4" fontId="3" fillId="0" borderId="0" xfId="0" applyNumberFormat="1" applyFont="1" applyAlignment="1">
      <alignment horizontal="right" vertical="center" wrapText="1"/>
    </xf>
    <xf numFmtId="4" fontId="5" fillId="0" borderId="0" xfId="0" applyNumberFormat="1" applyFont="1" applyAlignment="1">
      <alignment horizontal="right" vertical="center" wrapText="1"/>
    </xf>
    <xf numFmtId="0" fontId="6" fillId="0" borderId="0" xfId="1"/>
    <xf numFmtId="0" fontId="1" fillId="0" borderId="0" xfId="0" applyFont="1"/>
    <xf numFmtId="0" fontId="2" fillId="0" borderId="1" xfId="0" applyFont="1" applyBorder="1" applyAlignment="1">
      <alignment horizontal="left" wrapText="1"/>
    </xf>
    <xf numFmtId="16" fontId="1" fillId="2" borderId="0" xfId="0" applyNumberFormat="1" applyFont="1" applyFill="1" applyAlignment="1">
      <alignment vertical="top" wrapText="1"/>
    </xf>
    <xf numFmtId="0" fontId="1" fillId="2" borderId="0" xfId="0" applyFont="1" applyFill="1" applyAlignment="1">
      <alignment vertical="top" wrapText="1"/>
    </xf>
    <xf numFmtId="10" fontId="1" fillId="2" borderId="0" xfId="0" applyNumberFormat="1" applyFont="1" applyFill="1" applyAlignment="1">
      <alignment vertical="top" wrapText="1"/>
    </xf>
    <xf numFmtId="16" fontId="1" fillId="0" borderId="0" xfId="0" applyNumberFormat="1" applyFont="1" applyAlignment="1">
      <alignment vertical="top" wrapText="1"/>
    </xf>
    <xf numFmtId="0" fontId="1" fillId="0" borderId="0" xfId="0" applyFont="1" applyAlignment="1">
      <alignment vertical="top" wrapText="1"/>
    </xf>
    <xf numFmtId="10" fontId="1" fillId="0" borderId="0" xfId="0" applyNumberFormat="1" applyFont="1" applyAlignment="1">
      <alignment vertical="top" wrapText="1"/>
    </xf>
    <xf numFmtId="3" fontId="1" fillId="2" borderId="0" xfId="0" applyNumberFormat="1" applyFont="1" applyFill="1" applyAlignment="1">
      <alignment vertical="top" wrapText="1"/>
    </xf>
    <xf numFmtId="3" fontId="1" fillId="0" borderId="0" xfId="0" applyNumberFormat="1" applyFont="1" applyAlignment="1">
      <alignment vertical="top" wrapText="1"/>
    </xf>
    <xf numFmtId="0" fontId="2" fillId="2" borderId="0" xfId="0" applyFont="1" applyFill="1" applyAlignment="1">
      <alignment vertical="top" wrapText="1"/>
    </xf>
    <xf numFmtId="3" fontId="2" fillId="2" borderId="0" xfId="0" applyNumberFormat="1" applyFont="1" applyFill="1" applyAlignment="1">
      <alignment vertical="top" wrapText="1"/>
    </xf>
    <xf numFmtId="10" fontId="2" fillId="2" borderId="0" xfId="0" applyNumberFormat="1" applyFont="1" applyFill="1" applyAlignment="1">
      <alignment vertical="top" wrapText="1"/>
    </xf>
    <xf numFmtId="16" fontId="1" fillId="0" borderId="0" xfId="0" applyNumberFormat="1" applyFont="1"/>
    <xf numFmtId="10" fontId="1" fillId="0" borderId="0" xfId="0" applyNumberFormat="1" applyFont="1"/>
    <xf numFmtId="3" fontId="1" fillId="0" borderId="0" xfId="0" applyNumberFormat="1" applyFont="1"/>
    <xf numFmtId="0" fontId="8" fillId="3" borderId="1" xfId="0" applyFont="1" applyFill="1" applyBorder="1" applyAlignment="1">
      <alignment horizontal="left" wrapText="1"/>
    </xf>
    <xf numFmtId="16" fontId="7" fillId="2" borderId="0" xfId="0" applyNumberFormat="1" applyFont="1" applyFill="1" applyAlignment="1">
      <alignment vertical="top" wrapText="1"/>
    </xf>
    <xf numFmtId="0" fontId="7" fillId="2" borderId="0" xfId="0" applyFont="1" applyFill="1" applyAlignment="1">
      <alignment vertical="top" wrapText="1"/>
    </xf>
    <xf numFmtId="10" fontId="7" fillId="2" borderId="0" xfId="0" applyNumberFormat="1" applyFont="1" applyFill="1" applyAlignment="1">
      <alignment vertical="top" wrapText="1"/>
    </xf>
    <xf numFmtId="16" fontId="7" fillId="3" borderId="0" xfId="0" applyNumberFormat="1" applyFont="1" applyFill="1" applyAlignment="1">
      <alignment vertical="top" wrapText="1"/>
    </xf>
    <xf numFmtId="0" fontId="7" fillId="3" borderId="0" xfId="0" applyFont="1" applyFill="1" applyAlignment="1">
      <alignment vertical="top" wrapText="1"/>
    </xf>
    <xf numFmtId="10" fontId="7" fillId="3" borderId="0" xfId="0" applyNumberFormat="1" applyFont="1" applyFill="1" applyAlignment="1">
      <alignment vertical="top" wrapText="1"/>
    </xf>
    <xf numFmtId="3" fontId="7" fillId="2" borderId="0" xfId="0" applyNumberFormat="1" applyFont="1" applyFill="1" applyAlignment="1">
      <alignment vertical="top" wrapText="1"/>
    </xf>
    <xf numFmtId="3" fontId="7" fillId="3" borderId="0" xfId="0" applyNumberFormat="1" applyFont="1" applyFill="1" applyAlignment="1">
      <alignment vertical="top" wrapText="1"/>
    </xf>
    <xf numFmtId="0" fontId="8" fillId="2" borderId="0" xfId="0" applyFont="1" applyFill="1" applyAlignment="1">
      <alignment vertical="top" wrapText="1"/>
    </xf>
    <xf numFmtId="3" fontId="8" fillId="2" borderId="0" xfId="0" applyNumberFormat="1" applyFont="1" applyFill="1" applyAlignment="1">
      <alignment vertical="top" wrapText="1"/>
    </xf>
    <xf numFmtId="10" fontId="8" fillId="2" borderId="0" xfId="0" applyNumberFormat="1" applyFont="1" applyFill="1" applyAlignment="1">
      <alignment vertical="top" wrapText="1"/>
    </xf>
    <xf numFmtId="0" fontId="9" fillId="0" borderId="0" xfId="2" applyAlignment="1">
      <alignment horizontal="left" vertical="top"/>
    </xf>
    <xf numFmtId="0" fontId="9" fillId="0" borderId="0" xfId="2" applyAlignment="1">
      <alignment horizontal="left" wrapText="1"/>
    </xf>
    <xf numFmtId="0" fontId="13" fillId="0" borderId="0" xfId="2" applyFont="1" applyAlignment="1">
      <alignment horizontal="left" vertical="top" wrapText="1" indent="1"/>
    </xf>
    <xf numFmtId="1" fontId="12" fillId="0" borderId="0" xfId="2" applyNumberFormat="1" applyFont="1" applyAlignment="1">
      <alignment horizontal="left" vertical="top" shrinkToFit="1"/>
    </xf>
    <xf numFmtId="0" fontId="9" fillId="0" borderId="0" xfId="2" applyAlignment="1">
      <alignment horizontal="left" vertical="center" wrapText="1"/>
    </xf>
    <xf numFmtId="0" fontId="14" fillId="0" borderId="0" xfId="2" applyFont="1" applyAlignment="1">
      <alignment horizontal="left" vertical="center" wrapText="1" indent="1"/>
    </xf>
    <xf numFmtId="0" fontId="14" fillId="0" borderId="0" xfId="2" applyFont="1" applyAlignment="1">
      <alignment horizontal="left" vertical="center" wrapText="1"/>
    </xf>
    <xf numFmtId="164" fontId="12" fillId="0" borderId="0" xfId="2" applyNumberFormat="1" applyFont="1" applyAlignment="1">
      <alignment horizontal="center" vertical="top" shrinkToFit="1"/>
    </xf>
    <xf numFmtId="164" fontId="12" fillId="0" borderId="0" xfId="2" applyNumberFormat="1" applyFont="1" applyAlignment="1">
      <alignment horizontal="right" vertical="top" indent="1" shrinkToFit="1"/>
    </xf>
    <xf numFmtId="164" fontId="12" fillId="0" borderId="0" xfId="2" applyNumberFormat="1" applyFont="1" applyAlignment="1">
      <alignment horizontal="right" vertical="top" shrinkToFit="1"/>
    </xf>
    <xf numFmtId="1" fontId="12" fillId="0" borderId="0" xfId="2" applyNumberFormat="1" applyFont="1" applyAlignment="1">
      <alignment horizontal="center" vertical="top" shrinkToFit="1"/>
    </xf>
    <xf numFmtId="0" fontId="13" fillId="0" borderId="0" xfId="2" applyFont="1" applyAlignment="1">
      <alignment horizontal="left" vertical="top" wrapText="1"/>
    </xf>
    <xf numFmtId="1" fontId="12" fillId="0" borderId="0" xfId="2" applyNumberFormat="1" applyFont="1" applyAlignment="1">
      <alignment horizontal="left" vertical="top" indent="1" shrinkToFit="1"/>
    </xf>
    <xf numFmtId="165" fontId="12" fillId="0" borderId="0" xfId="2" applyNumberFormat="1" applyFont="1" applyAlignment="1">
      <alignment horizontal="right" vertical="top" shrinkToFit="1"/>
    </xf>
    <xf numFmtId="0" fontId="14" fillId="0" borderId="0" xfId="2" applyFont="1" applyAlignment="1">
      <alignment horizontal="center" vertical="top" wrapText="1"/>
    </xf>
    <xf numFmtId="0" fontId="14" fillId="0" borderId="0" xfId="2" applyFont="1" applyAlignment="1">
      <alignment horizontal="left" vertical="top" wrapText="1" indent="3"/>
    </xf>
    <xf numFmtId="0" fontId="14" fillId="0" borderId="0" xfId="2" applyFont="1" applyAlignment="1">
      <alignment horizontal="left" vertical="top" wrapText="1" indent="5"/>
    </xf>
    <xf numFmtId="0" fontId="14" fillId="0" borderId="0" xfId="2" applyFont="1" applyAlignment="1">
      <alignment horizontal="left" vertical="top" wrapText="1" indent="4"/>
    </xf>
    <xf numFmtId="0" fontId="14" fillId="0" borderId="0" xfId="2" applyFont="1" applyAlignment="1">
      <alignment horizontal="left" vertical="top" wrapText="1" indent="1"/>
    </xf>
    <xf numFmtId="0" fontId="14" fillId="0" borderId="0" xfId="2" applyFont="1" applyAlignment="1">
      <alignment horizontal="left" vertical="top" wrapText="1"/>
    </xf>
    <xf numFmtId="165" fontId="12" fillId="0" borderId="0" xfId="2" applyNumberFormat="1" applyFont="1" applyAlignment="1">
      <alignment horizontal="left" vertical="top" indent="1" shrinkToFit="1"/>
    </xf>
    <xf numFmtId="165" fontId="12" fillId="0" borderId="0" xfId="2" applyNumberFormat="1" applyFont="1" applyAlignment="1">
      <alignment horizontal="center" vertical="top" shrinkToFit="1"/>
    </xf>
    <xf numFmtId="165" fontId="17" fillId="0" borderId="0" xfId="2" applyNumberFormat="1" applyFont="1" applyAlignment="1">
      <alignment horizontal="right" vertical="top" shrinkToFit="1"/>
    </xf>
    <xf numFmtId="165" fontId="17" fillId="0" borderId="0" xfId="2" applyNumberFormat="1" applyFont="1" applyAlignment="1">
      <alignment horizontal="center" vertical="top" shrinkToFit="1"/>
    </xf>
    <xf numFmtId="164" fontId="17" fillId="0" borderId="0" xfId="2" applyNumberFormat="1" applyFont="1" applyAlignment="1">
      <alignment horizontal="right" vertical="top" shrinkToFit="1"/>
    </xf>
    <xf numFmtId="0" fontId="0" fillId="0" borderId="0" xfId="0" applyAlignment="1">
      <alignment horizontal="right"/>
    </xf>
    <xf numFmtId="0" fontId="0" fillId="0" borderId="0" xfId="0" applyAlignment="1">
      <alignment horizontal="left"/>
    </xf>
    <xf numFmtId="0" fontId="18" fillId="0" borderId="0" xfId="0" applyFont="1" applyAlignment="1">
      <alignment vertical="center" wrapText="1"/>
    </xf>
    <xf numFmtId="0" fontId="18" fillId="0" borderId="0" xfId="0" applyFont="1" applyAlignment="1">
      <alignment horizontal="right" vertical="center" wrapText="1"/>
    </xf>
    <xf numFmtId="0" fontId="2" fillId="0" borderId="0" xfId="0" applyFont="1"/>
    <xf numFmtId="0" fontId="2" fillId="0" borderId="0" xfId="0" applyFont="1" applyAlignment="1">
      <alignment horizontal="right"/>
    </xf>
    <xf numFmtId="164" fontId="0" fillId="0" borderId="0" xfId="0" applyNumberFormat="1" applyAlignment="1">
      <alignment horizontal="right"/>
    </xf>
    <xf numFmtId="164" fontId="17" fillId="0" borderId="0" xfId="0" applyNumberFormat="1" applyFont="1" applyAlignment="1">
      <alignment horizontal="right" vertical="center" wrapText="1"/>
    </xf>
    <xf numFmtId="165" fontId="17" fillId="0" borderId="0" xfId="2" applyNumberFormat="1" applyFont="1" applyAlignment="1">
      <alignment horizontal="left" vertical="top" indent="1" shrinkToFit="1"/>
    </xf>
    <xf numFmtId="0" fontId="9" fillId="0" borderId="0" xfId="2" applyAlignment="1">
      <alignment horizontal="center" vertical="center" wrapText="1"/>
    </xf>
    <xf numFmtId="0" fontId="13" fillId="0" borderId="0" xfId="2" applyFont="1" applyAlignment="1">
      <alignment horizontal="left" vertical="top" wrapText="1"/>
    </xf>
    <xf numFmtId="0" fontId="10" fillId="0" borderId="0" xfId="2" applyFont="1" applyAlignment="1">
      <alignment horizontal="left" vertical="top" wrapText="1"/>
    </xf>
    <xf numFmtId="0" fontId="9" fillId="0" borderId="0" xfId="2" applyAlignment="1">
      <alignment horizontal="left" vertical="top" wrapText="1"/>
    </xf>
    <xf numFmtId="0" fontId="14" fillId="0" borderId="0" xfId="2" applyFont="1" applyAlignment="1">
      <alignment horizontal="left" vertical="top" wrapText="1"/>
    </xf>
    <xf numFmtId="165" fontId="12" fillId="0" borderId="0" xfId="2" applyNumberFormat="1" applyFont="1" applyAlignment="1">
      <alignment horizontal="left" vertical="top" indent="12" shrinkToFit="1"/>
    </xf>
    <xf numFmtId="164" fontId="12" fillId="0" borderId="0" xfId="2" applyNumberFormat="1" applyFont="1" applyAlignment="1">
      <alignment horizontal="left" vertical="top" indent="13" shrinkToFit="1"/>
    </xf>
    <xf numFmtId="165" fontId="12" fillId="0" borderId="0" xfId="2" applyNumberFormat="1" applyFont="1" applyAlignment="1">
      <alignment horizontal="left" vertical="top" indent="11" shrinkToFit="1"/>
    </xf>
    <xf numFmtId="164" fontId="12" fillId="0" borderId="0" xfId="2" applyNumberFormat="1" applyFont="1" applyAlignment="1">
      <alignment horizontal="left" vertical="top" indent="14" shrinkToFit="1"/>
    </xf>
    <xf numFmtId="0" fontId="14" fillId="0" borderId="0" xfId="2" applyFont="1" applyAlignment="1">
      <alignment horizontal="left" vertical="center" wrapText="1" indent="15"/>
    </xf>
    <xf numFmtId="0" fontId="11" fillId="0" borderId="0" xfId="2" applyFont="1" applyAlignment="1">
      <alignment horizontal="left" vertical="top" wrapText="1"/>
    </xf>
    <xf numFmtId="164" fontId="12" fillId="0" borderId="0" xfId="2" applyNumberFormat="1" applyFont="1" applyAlignment="1">
      <alignment horizontal="right" vertical="top" indent="28" shrinkToFit="1"/>
    </xf>
    <xf numFmtId="165" fontId="12" fillId="0" borderId="0" xfId="2" applyNumberFormat="1" applyFont="1" applyAlignment="1">
      <alignment horizontal="right" vertical="top" indent="28" shrinkToFit="1"/>
    </xf>
    <xf numFmtId="0" fontId="14" fillId="0" borderId="0" xfId="2" applyFont="1" applyAlignment="1">
      <alignment horizontal="left" vertical="center" wrapText="1" indent="1"/>
    </xf>
    <xf numFmtId="0" fontId="14" fillId="0" borderId="0" xfId="2" applyFont="1" applyAlignment="1">
      <alignment horizontal="left" vertical="center" wrapText="1" indent="14"/>
    </xf>
    <xf numFmtId="0" fontId="13" fillId="0" borderId="0" xfId="2" applyFont="1" applyAlignment="1">
      <alignment horizontal="left" vertical="top" wrapText="1" indent="1"/>
    </xf>
    <xf numFmtId="164" fontId="12" fillId="0" borderId="0" xfId="2" applyNumberFormat="1" applyFont="1" applyAlignment="1">
      <alignment horizontal="left" vertical="top" indent="12" shrinkToFit="1"/>
    </xf>
    <xf numFmtId="0" fontId="7" fillId="0" borderId="0" xfId="0" applyFont="1" applyAlignment="1">
      <alignment horizontal="center" vertical="center" wrapText="1"/>
    </xf>
    <xf numFmtId="0" fontId="1" fillId="0" borderId="0" xfId="0" applyFont="1" applyAlignment="1">
      <alignment horizontal="center" vertical="top" wrapText="1"/>
    </xf>
    <xf numFmtId="0" fontId="2" fillId="0" borderId="0" xfId="0" applyFont="1" applyAlignment="1">
      <alignment horizontal="center" vertical="top" wrapText="1"/>
    </xf>
    <xf numFmtId="1" fontId="0" fillId="0" borderId="0" xfId="0" applyNumberFormat="1" applyAlignment="1">
      <alignment horizontal="right"/>
    </xf>
    <xf numFmtId="0" fontId="20" fillId="0" borderId="0" xfId="0" applyFont="1" applyAlignment="1">
      <alignment vertical="center" wrapText="1"/>
    </xf>
    <xf numFmtId="0" fontId="20" fillId="0" borderId="0" xfId="0" applyFont="1" applyAlignment="1">
      <alignment horizontal="right" vertical="center" wrapText="1"/>
    </xf>
    <xf numFmtId="0" fontId="17" fillId="0" borderId="0" xfId="0" applyFont="1" applyAlignment="1">
      <alignment horizontal="left" vertical="center" wrapText="1"/>
    </xf>
    <xf numFmtId="0" fontId="0" fillId="0" borderId="0" xfId="0" applyFont="1" applyAlignment="1">
      <alignment horizontal="right"/>
    </xf>
    <xf numFmtId="0" fontId="0" fillId="0" borderId="0" xfId="0" applyFont="1"/>
    <xf numFmtId="0" fontId="20" fillId="0" borderId="0" xfId="0" applyFont="1" applyAlignment="1">
      <alignment horizontal="left" vertical="center" wrapText="1"/>
    </xf>
    <xf numFmtId="1" fontId="0" fillId="0" borderId="0" xfId="0" applyNumberFormat="1" applyAlignment="1">
      <alignment horizontal="right" vertical="top" wrapText="1"/>
    </xf>
    <xf numFmtId="164" fontId="2" fillId="0" borderId="0" xfId="0" applyNumberFormat="1" applyFont="1" applyAlignment="1">
      <alignment horizontal="left"/>
    </xf>
    <xf numFmtId="164" fontId="0" fillId="0" borderId="0" xfId="0" applyNumberFormat="1" applyAlignment="1">
      <alignment horizontal="left"/>
    </xf>
    <xf numFmtId="0" fontId="2" fillId="0" borderId="0" xfId="0" applyFont="1" applyAlignment="1"/>
    <xf numFmtId="1" fontId="2" fillId="0" borderId="0" xfId="0" applyNumberFormat="1" applyFont="1" applyAlignment="1"/>
    <xf numFmtId="164" fontId="2" fillId="0" borderId="0" xfId="0" applyNumberFormat="1" applyFont="1" applyAlignment="1"/>
    <xf numFmtId="0" fontId="0" fillId="0" borderId="0" xfId="0" applyAlignment="1"/>
  </cellXfs>
  <cellStyles count="3">
    <cellStyle name="Hyperlink" xfId="1" builtinId="8"/>
    <cellStyle name="Normal" xfId="0" builtinId="0"/>
    <cellStyle name="Normal 2" xfId="2" xr:uid="{305F2BCD-C32E-4892-800A-4341D314F2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1140460</xdr:colOff>
      <xdr:row>0</xdr:row>
      <xdr:rowOff>0</xdr:rowOff>
    </xdr:from>
    <xdr:ext cx="3548886" cy="885190"/>
    <xdr:pic>
      <xdr:nvPicPr>
        <xdr:cNvPr id="2" name="image1.png">
          <a:extLst>
            <a:ext uri="{FF2B5EF4-FFF2-40B4-BE49-F238E27FC236}">
              <a16:creationId xmlns:a16="http://schemas.microsoft.com/office/drawing/2014/main" id="{FE397388-F13B-4811-9DAA-2AEDD33C34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21422" y="6095"/>
          <a:ext cx="3548886" cy="885190"/>
        </a:xfrm>
        <a:prstGeom prst="rect">
          <a:avLst/>
        </a:prstGeom>
      </xdr:spPr>
    </xdr:pic>
    <xdr:clientData/>
  </xdr:oneCellAnchor>
  <xdr:oneCellAnchor>
    <xdr:from>
      <xdr:col>5</xdr:col>
      <xdr:colOff>440690</xdr:colOff>
      <xdr:row>0</xdr:row>
      <xdr:rowOff>0</xdr:rowOff>
    </xdr:from>
    <xdr:ext cx="0" cy="9525"/>
    <xdr:sp macro="" textlink="">
      <xdr:nvSpPr>
        <xdr:cNvPr id="3" name="Shape 3">
          <a:extLst>
            <a:ext uri="{FF2B5EF4-FFF2-40B4-BE49-F238E27FC236}">
              <a16:creationId xmlns:a16="http://schemas.microsoft.com/office/drawing/2014/main" id="{27E19F18-1AF3-4362-9EF6-529B0F927599}"/>
            </a:ext>
          </a:extLst>
        </xdr:cNvPr>
        <xdr:cNvSpPr/>
      </xdr:nvSpPr>
      <xdr:spPr>
        <a:xfrm>
          <a:off x="3488690" y="2832164"/>
          <a:ext cx="0" cy="9525"/>
        </a:xfrm>
        <a:custGeom>
          <a:avLst/>
          <a:gdLst/>
          <a:ahLst/>
          <a:cxnLst/>
          <a:rect l="0" t="0" r="0" b="0"/>
          <a:pathLst>
            <a:path h="9525">
              <a:moveTo>
                <a:pt x="0" y="9525"/>
              </a:moveTo>
              <a:lnTo>
                <a:pt x="0" y="0"/>
              </a:lnTo>
            </a:path>
          </a:pathLst>
        </a:custGeom>
        <a:ln w="8890">
          <a:solidFill>
            <a:srgbClr val="FEFEFE"/>
          </a:solidFill>
        </a:ln>
      </xdr:spPr>
    </xdr:sp>
    <xdr:clientData/>
  </xdr:oneCellAnchor>
  <xdr:oneCellAnchor>
    <xdr:from>
      <xdr:col>5</xdr:col>
      <xdr:colOff>436245</xdr:colOff>
      <xdr:row>0</xdr:row>
      <xdr:rowOff>0</xdr:rowOff>
    </xdr:from>
    <xdr:ext cx="8890" cy="0"/>
    <xdr:sp macro="" textlink="">
      <xdr:nvSpPr>
        <xdr:cNvPr id="4" name="Shape 4">
          <a:extLst>
            <a:ext uri="{FF2B5EF4-FFF2-40B4-BE49-F238E27FC236}">
              <a16:creationId xmlns:a16="http://schemas.microsoft.com/office/drawing/2014/main" id="{25242339-B79A-4636-9D89-69B2D592492D}"/>
            </a:ext>
          </a:extLst>
        </xdr:cNvPr>
        <xdr:cNvSpPr/>
      </xdr:nvSpPr>
      <xdr:spPr>
        <a:xfrm>
          <a:off x="3484245" y="4500626"/>
          <a:ext cx="8890" cy="0"/>
        </a:xfrm>
        <a:custGeom>
          <a:avLst/>
          <a:gdLst/>
          <a:ahLst/>
          <a:cxnLst/>
          <a:rect l="0" t="0" r="0" b="0"/>
          <a:pathLst>
            <a:path w="8890">
              <a:moveTo>
                <a:pt x="0" y="0"/>
              </a:moveTo>
              <a:lnTo>
                <a:pt x="8890" y="0"/>
              </a:lnTo>
            </a:path>
          </a:pathLst>
        </a:custGeom>
        <a:ln w="8889">
          <a:solidFill>
            <a:srgbClr val="FEFEFE"/>
          </a:solidFill>
        </a:ln>
      </xdr:spPr>
    </xdr:sp>
    <xdr:clientData/>
  </xdr:oneCellAnchor>
  <xdr:oneCellAnchor>
    <xdr:from>
      <xdr:col>5</xdr:col>
      <xdr:colOff>436245</xdr:colOff>
      <xdr:row>0</xdr:row>
      <xdr:rowOff>0</xdr:rowOff>
    </xdr:from>
    <xdr:ext cx="8890" cy="0"/>
    <xdr:sp macro="" textlink="">
      <xdr:nvSpPr>
        <xdr:cNvPr id="5" name="Shape 5">
          <a:extLst>
            <a:ext uri="{FF2B5EF4-FFF2-40B4-BE49-F238E27FC236}">
              <a16:creationId xmlns:a16="http://schemas.microsoft.com/office/drawing/2014/main" id="{ACD75DD7-DB5E-438F-9376-F22171D85621}"/>
            </a:ext>
          </a:extLst>
        </xdr:cNvPr>
        <xdr:cNvSpPr/>
      </xdr:nvSpPr>
      <xdr:spPr>
        <a:xfrm>
          <a:off x="3484245" y="6336411"/>
          <a:ext cx="8890" cy="0"/>
        </a:xfrm>
        <a:custGeom>
          <a:avLst/>
          <a:gdLst/>
          <a:ahLst/>
          <a:cxnLst/>
          <a:rect l="0" t="0" r="0" b="0"/>
          <a:pathLst>
            <a:path w="8890">
              <a:moveTo>
                <a:pt x="0" y="0"/>
              </a:moveTo>
              <a:lnTo>
                <a:pt x="8890" y="0"/>
              </a:lnTo>
            </a:path>
          </a:pathLst>
        </a:custGeom>
        <a:ln w="8890">
          <a:solidFill>
            <a:srgbClr val="FEFEFE"/>
          </a:solidFill>
        </a:ln>
      </xdr:spPr>
    </xdr:sp>
    <xdr:clientData/>
  </xdr:oneCellAnchor>
  <xdr:oneCellAnchor>
    <xdr:from>
      <xdr:col>5</xdr:col>
      <xdr:colOff>440690</xdr:colOff>
      <xdr:row>0</xdr:row>
      <xdr:rowOff>0</xdr:rowOff>
    </xdr:from>
    <xdr:ext cx="0" cy="9525"/>
    <xdr:sp macro="" textlink="">
      <xdr:nvSpPr>
        <xdr:cNvPr id="6" name="Shape 6">
          <a:extLst>
            <a:ext uri="{FF2B5EF4-FFF2-40B4-BE49-F238E27FC236}">
              <a16:creationId xmlns:a16="http://schemas.microsoft.com/office/drawing/2014/main" id="{ACAF67FC-8C80-4554-8F1E-CCB926FCF632}"/>
            </a:ext>
          </a:extLst>
        </xdr:cNvPr>
        <xdr:cNvSpPr/>
      </xdr:nvSpPr>
      <xdr:spPr>
        <a:xfrm>
          <a:off x="3488690" y="7836598"/>
          <a:ext cx="0" cy="9525"/>
        </a:xfrm>
        <a:custGeom>
          <a:avLst/>
          <a:gdLst/>
          <a:ahLst/>
          <a:cxnLst/>
          <a:rect l="0" t="0" r="0" b="0"/>
          <a:pathLst>
            <a:path h="9525">
              <a:moveTo>
                <a:pt x="0" y="9525"/>
              </a:moveTo>
              <a:lnTo>
                <a:pt x="0" y="0"/>
              </a:lnTo>
            </a:path>
          </a:pathLst>
        </a:custGeom>
        <a:ln w="8890">
          <a:solidFill>
            <a:srgbClr val="FEFEFE"/>
          </a:solidFill>
        </a:ln>
      </xdr:spPr>
    </xdr:sp>
    <xdr:clientData/>
  </xdr:oneCellAnchor>
  <xdr:oneCellAnchor>
    <xdr:from>
      <xdr:col>5</xdr:col>
      <xdr:colOff>440690</xdr:colOff>
      <xdr:row>0</xdr:row>
      <xdr:rowOff>0</xdr:rowOff>
    </xdr:from>
    <xdr:ext cx="0" cy="9525"/>
    <xdr:sp macro="" textlink="">
      <xdr:nvSpPr>
        <xdr:cNvPr id="7" name="Shape 7">
          <a:extLst>
            <a:ext uri="{FF2B5EF4-FFF2-40B4-BE49-F238E27FC236}">
              <a16:creationId xmlns:a16="http://schemas.microsoft.com/office/drawing/2014/main" id="{B75E2EE4-9FAB-4B4C-B9F5-B1A47492CE5A}"/>
            </a:ext>
          </a:extLst>
        </xdr:cNvPr>
        <xdr:cNvSpPr/>
      </xdr:nvSpPr>
      <xdr:spPr>
        <a:xfrm>
          <a:off x="3488690" y="9668892"/>
          <a:ext cx="0" cy="9525"/>
        </a:xfrm>
        <a:custGeom>
          <a:avLst/>
          <a:gdLst/>
          <a:ahLst/>
          <a:cxnLst/>
          <a:rect l="0" t="0" r="0" b="0"/>
          <a:pathLst>
            <a:path h="9525">
              <a:moveTo>
                <a:pt x="0" y="9524"/>
              </a:moveTo>
              <a:lnTo>
                <a:pt x="0" y="0"/>
              </a:lnTo>
            </a:path>
          </a:pathLst>
        </a:custGeom>
        <a:ln w="8890">
          <a:solidFill>
            <a:srgbClr val="FEFEFE"/>
          </a:solidFill>
        </a:ln>
      </xdr:spPr>
    </xdr:sp>
    <xdr:clientData/>
  </xdr:oneCellAnchor>
  <xdr:oneCellAnchor>
    <xdr:from>
      <xdr:col>5</xdr:col>
      <xdr:colOff>436245</xdr:colOff>
      <xdr:row>0</xdr:row>
      <xdr:rowOff>0</xdr:rowOff>
    </xdr:from>
    <xdr:ext cx="8890" cy="0"/>
    <xdr:sp macro="" textlink="">
      <xdr:nvSpPr>
        <xdr:cNvPr id="8" name="Shape 8">
          <a:extLst>
            <a:ext uri="{FF2B5EF4-FFF2-40B4-BE49-F238E27FC236}">
              <a16:creationId xmlns:a16="http://schemas.microsoft.com/office/drawing/2014/main" id="{C6A1375F-6876-48B7-821C-E636AAD08332}"/>
            </a:ext>
          </a:extLst>
        </xdr:cNvPr>
        <xdr:cNvSpPr/>
      </xdr:nvSpPr>
      <xdr:spPr>
        <a:xfrm>
          <a:off x="3484245" y="11670412"/>
          <a:ext cx="8890" cy="0"/>
        </a:xfrm>
        <a:custGeom>
          <a:avLst/>
          <a:gdLst/>
          <a:ahLst/>
          <a:cxnLst/>
          <a:rect l="0" t="0" r="0" b="0"/>
          <a:pathLst>
            <a:path w="8890">
              <a:moveTo>
                <a:pt x="0" y="0"/>
              </a:moveTo>
              <a:lnTo>
                <a:pt x="8890" y="0"/>
              </a:lnTo>
            </a:path>
          </a:pathLst>
        </a:custGeom>
        <a:ln w="8890">
          <a:solidFill>
            <a:srgbClr val="FEFEFE"/>
          </a:solidFill>
        </a:ln>
      </xdr:spPr>
    </xdr:sp>
    <xdr:clientData/>
  </xdr:oneCellAnchor>
  <xdr:oneCellAnchor>
    <xdr:from>
      <xdr:col>5</xdr:col>
      <xdr:colOff>436245</xdr:colOff>
      <xdr:row>0</xdr:row>
      <xdr:rowOff>0</xdr:rowOff>
    </xdr:from>
    <xdr:ext cx="8890" cy="0"/>
    <xdr:sp macro="" textlink="">
      <xdr:nvSpPr>
        <xdr:cNvPr id="9" name="Shape 9">
          <a:extLst>
            <a:ext uri="{FF2B5EF4-FFF2-40B4-BE49-F238E27FC236}">
              <a16:creationId xmlns:a16="http://schemas.microsoft.com/office/drawing/2014/main" id="{53C6F140-7EB1-438B-990F-3BCB0B2809B9}"/>
            </a:ext>
          </a:extLst>
        </xdr:cNvPr>
        <xdr:cNvSpPr/>
      </xdr:nvSpPr>
      <xdr:spPr>
        <a:xfrm>
          <a:off x="3484245" y="12500356"/>
          <a:ext cx="8890" cy="0"/>
        </a:xfrm>
        <a:custGeom>
          <a:avLst/>
          <a:gdLst/>
          <a:ahLst/>
          <a:cxnLst/>
          <a:rect l="0" t="0" r="0" b="0"/>
          <a:pathLst>
            <a:path w="8890">
              <a:moveTo>
                <a:pt x="0" y="0"/>
              </a:moveTo>
              <a:lnTo>
                <a:pt x="8890" y="0"/>
              </a:lnTo>
            </a:path>
          </a:pathLst>
        </a:custGeom>
        <a:ln w="8890">
          <a:solidFill>
            <a:srgbClr val="FEFEFE"/>
          </a:solidFill>
        </a:ln>
      </xdr:spPr>
    </xdr:sp>
    <xdr:clientData/>
  </xdr:oneCellAnchor>
  <xdr:oneCellAnchor>
    <xdr:from>
      <xdr:col>5</xdr:col>
      <xdr:colOff>436245</xdr:colOff>
      <xdr:row>0</xdr:row>
      <xdr:rowOff>0</xdr:rowOff>
    </xdr:from>
    <xdr:ext cx="8890" cy="0"/>
    <xdr:sp macro="" textlink="">
      <xdr:nvSpPr>
        <xdr:cNvPr id="10" name="Shape 10">
          <a:extLst>
            <a:ext uri="{FF2B5EF4-FFF2-40B4-BE49-F238E27FC236}">
              <a16:creationId xmlns:a16="http://schemas.microsoft.com/office/drawing/2014/main" id="{EEC99ED0-3E6D-4670-8D3D-BF5156929D5B}"/>
            </a:ext>
          </a:extLst>
        </xdr:cNvPr>
        <xdr:cNvSpPr/>
      </xdr:nvSpPr>
      <xdr:spPr>
        <a:xfrm>
          <a:off x="3484245" y="14168183"/>
          <a:ext cx="8890" cy="0"/>
        </a:xfrm>
        <a:custGeom>
          <a:avLst/>
          <a:gdLst/>
          <a:ahLst/>
          <a:cxnLst/>
          <a:rect l="0" t="0" r="0" b="0"/>
          <a:pathLst>
            <a:path w="8890">
              <a:moveTo>
                <a:pt x="0" y="0"/>
              </a:moveTo>
              <a:lnTo>
                <a:pt x="8890" y="0"/>
              </a:lnTo>
            </a:path>
          </a:pathLst>
        </a:custGeom>
        <a:ln w="8890">
          <a:solidFill>
            <a:srgbClr val="FEFEFE"/>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electionz.com/LGE2022Returns/ELT47WG22_returns.htm" TargetMode="External"/><Relationship Id="rId2" Type="http://schemas.openxmlformats.org/officeDocument/2006/relationships/hyperlink" Target="https://www.electionz.com/LGE2022Results/ELT47WG22_results.pdf" TargetMode="External"/><Relationship Id="rId1" Type="http://schemas.openxmlformats.org/officeDocument/2006/relationships/hyperlink" Target="https://wellington.govt.nz/your-council/elections/2022-elections/results/" TargetMode="External"/><Relationship Id="rId5" Type="http://schemas.openxmlformats.org/officeDocument/2006/relationships/printerSettings" Target="../printerSettings/printerSettings2.bin"/><Relationship Id="rId4" Type="http://schemas.openxmlformats.org/officeDocument/2006/relationships/hyperlink" Target="https://www.legislation.govt.nz/regulation/public/2001/0145/latest/whole.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C7F76-86EB-43E7-8E06-69996EB4DAD3}">
  <dimension ref="A1:T75"/>
  <sheetViews>
    <sheetView workbookViewId="0">
      <pane ySplit="1" topLeftCell="A2" activePane="bottomLeft" state="frozen"/>
      <selection activeCell="F1" sqref="F1"/>
      <selection pane="bottomLeft" activeCell="F2" sqref="F2"/>
    </sheetView>
  </sheetViews>
  <sheetFormatPr defaultRowHeight="14.25"/>
  <cols>
    <col min="1" max="1" width="9.3984375" bestFit="1" customWidth="1"/>
    <col min="2" max="2" width="28.265625" bestFit="1" customWidth="1"/>
    <col min="3" max="3" width="4.73046875" style="65" bestFit="1" customWidth="1"/>
    <col min="4" max="4" width="5.59765625" bestFit="1" customWidth="1"/>
    <col min="5" max="5" width="11.06640625" bestFit="1" customWidth="1"/>
    <col min="6" max="6" width="7.265625" style="94" bestFit="1" customWidth="1"/>
    <col min="7" max="7" width="7.06640625" style="65" bestFit="1" customWidth="1"/>
    <col min="8" max="8" width="9.53125" style="65" bestFit="1" customWidth="1"/>
    <col min="9" max="10" width="15.265625" style="71" bestFit="1" customWidth="1"/>
    <col min="11" max="11" width="24.59765625" bestFit="1" customWidth="1"/>
    <col min="12" max="12" width="14.33203125" bestFit="1" customWidth="1"/>
    <col min="13" max="13" width="7.796875" style="65" bestFit="1" customWidth="1"/>
    <col min="14" max="14" width="4.73046875" style="65" bestFit="1" customWidth="1"/>
    <col min="15" max="15" width="15.73046875" style="65" bestFit="1" customWidth="1"/>
    <col min="16" max="16" width="14.73046875" style="65" bestFit="1" customWidth="1"/>
    <col min="17" max="17" width="16.1328125" style="65" bestFit="1" customWidth="1"/>
    <col min="18" max="18" width="11.19921875" style="65" bestFit="1" customWidth="1"/>
    <col min="19" max="19" width="14.73046875" style="65" bestFit="1" customWidth="1"/>
  </cols>
  <sheetData>
    <row r="1" spans="1:20" s="107" customFormat="1">
      <c r="A1" s="104" t="s">
        <v>197</v>
      </c>
      <c r="B1" s="104" t="s">
        <v>198</v>
      </c>
      <c r="C1" s="104" t="s">
        <v>199</v>
      </c>
      <c r="D1" s="104" t="s">
        <v>200</v>
      </c>
      <c r="E1" s="104" t="s">
        <v>377</v>
      </c>
      <c r="F1" s="105" t="s">
        <v>201</v>
      </c>
      <c r="G1" s="104" t="s">
        <v>202</v>
      </c>
      <c r="H1" s="104" t="s">
        <v>203</v>
      </c>
      <c r="I1" s="106" t="s">
        <v>204</v>
      </c>
      <c r="J1" s="106" t="s">
        <v>205</v>
      </c>
      <c r="K1" s="104" t="s">
        <v>206</v>
      </c>
      <c r="L1" s="104" t="s">
        <v>2</v>
      </c>
      <c r="M1" s="104" t="s">
        <v>3</v>
      </c>
      <c r="N1" s="104" t="s">
        <v>209</v>
      </c>
      <c r="O1" s="104" t="s">
        <v>207</v>
      </c>
      <c r="P1" s="104" t="s">
        <v>211</v>
      </c>
      <c r="Q1" s="104" t="s">
        <v>210</v>
      </c>
      <c r="R1" s="104" t="s">
        <v>208</v>
      </c>
    </row>
    <row r="2" spans="1:20">
      <c r="A2" t="s">
        <v>368</v>
      </c>
      <c r="B2" t="s">
        <v>33</v>
      </c>
      <c r="C2" s="65">
        <v>1</v>
      </c>
      <c r="D2" t="s">
        <v>212</v>
      </c>
      <c r="E2">
        <v>69449</v>
      </c>
      <c r="F2" s="101">
        <f t="shared" ref="F2:F64" si="0">(I2-0.000000001)*(C2+1)+G2+H2</f>
        <v>72613.999999998006</v>
      </c>
      <c r="G2" s="65">
        <v>485</v>
      </c>
      <c r="H2" s="65">
        <v>103</v>
      </c>
      <c r="I2" s="71">
        <v>36013</v>
      </c>
      <c r="J2" s="72">
        <v>32881</v>
      </c>
      <c r="K2" s="95" t="s">
        <v>5</v>
      </c>
      <c r="L2" s="95" t="s">
        <v>36</v>
      </c>
      <c r="M2" s="96" t="s">
        <v>11</v>
      </c>
      <c r="N2" s="70">
        <v>1</v>
      </c>
      <c r="O2" s="62">
        <v>34462</v>
      </c>
      <c r="P2" s="62">
        <v>6263</v>
      </c>
      <c r="Q2" s="63">
        <v>32881</v>
      </c>
      <c r="R2" s="64">
        <v>1</v>
      </c>
      <c r="S2"/>
    </row>
    <row r="3" spans="1:20">
      <c r="A3" t="s">
        <v>368</v>
      </c>
      <c r="B3" t="s">
        <v>33</v>
      </c>
      <c r="C3" s="65">
        <v>1</v>
      </c>
      <c r="D3" t="s">
        <v>212</v>
      </c>
      <c r="E3">
        <v>69449</v>
      </c>
      <c r="F3" s="101">
        <f t="shared" si="0"/>
        <v>72613.999999998006</v>
      </c>
      <c r="G3" s="65">
        <v>485</v>
      </c>
      <c r="H3" s="65">
        <v>103</v>
      </c>
      <c r="I3" s="71">
        <v>36013</v>
      </c>
      <c r="J3" s="72">
        <v>32881</v>
      </c>
      <c r="K3" s="67" t="s">
        <v>9</v>
      </c>
      <c r="L3" s="67" t="s">
        <v>10</v>
      </c>
      <c r="M3" s="68" t="s">
        <v>11</v>
      </c>
      <c r="O3" s="62">
        <v>16711</v>
      </c>
      <c r="P3" s="62">
        <v>6263</v>
      </c>
      <c r="Q3" s="63">
        <v>32881</v>
      </c>
      <c r="R3" s="64">
        <v>0</v>
      </c>
      <c r="S3"/>
    </row>
    <row r="4" spans="1:20">
      <c r="A4" t="s">
        <v>368</v>
      </c>
      <c r="B4" t="s">
        <v>33</v>
      </c>
      <c r="C4" s="65">
        <v>1</v>
      </c>
      <c r="D4" t="s">
        <v>212</v>
      </c>
      <c r="E4">
        <v>69449</v>
      </c>
      <c r="F4" s="101">
        <f t="shared" si="0"/>
        <v>72613.999999998006</v>
      </c>
      <c r="G4" s="65">
        <v>485</v>
      </c>
      <c r="H4" s="65">
        <v>103</v>
      </c>
      <c r="I4" s="71">
        <v>36013</v>
      </c>
      <c r="J4" s="72">
        <v>32881</v>
      </c>
      <c r="K4" s="67" t="s">
        <v>13</v>
      </c>
      <c r="L4" s="67" t="s">
        <v>10</v>
      </c>
      <c r="M4" s="68" t="s">
        <v>11</v>
      </c>
      <c r="O4" s="62">
        <v>14589</v>
      </c>
      <c r="P4" s="62">
        <v>6263</v>
      </c>
      <c r="Q4" s="63">
        <v>32881</v>
      </c>
      <c r="R4" s="64">
        <v>0</v>
      </c>
      <c r="S4"/>
    </row>
    <row r="5" spans="1:20">
      <c r="A5" t="s">
        <v>368</v>
      </c>
      <c r="B5" t="s">
        <v>33</v>
      </c>
      <c r="C5" s="65">
        <v>1</v>
      </c>
      <c r="D5" t="s">
        <v>212</v>
      </c>
      <c r="E5">
        <v>69449</v>
      </c>
      <c r="F5" s="101">
        <f t="shared" si="0"/>
        <v>72613.999999998006</v>
      </c>
      <c r="G5" s="65">
        <v>485</v>
      </c>
      <c r="H5" s="65">
        <v>103</v>
      </c>
      <c r="I5" s="71">
        <v>36013</v>
      </c>
      <c r="J5" s="72">
        <v>32881</v>
      </c>
      <c r="K5" s="67" t="s">
        <v>15</v>
      </c>
      <c r="L5" s="67" t="s">
        <v>10</v>
      </c>
      <c r="M5" s="68" t="s">
        <v>16</v>
      </c>
      <c r="O5" s="62">
        <v>12670</v>
      </c>
      <c r="P5" s="62">
        <v>1339</v>
      </c>
      <c r="Q5" s="63">
        <v>35343</v>
      </c>
      <c r="R5" s="64">
        <v>0</v>
      </c>
      <c r="S5"/>
    </row>
    <row r="6" spans="1:20">
      <c r="A6" t="s">
        <v>368</v>
      </c>
      <c r="B6" t="s">
        <v>33</v>
      </c>
      <c r="C6" s="65">
        <v>1</v>
      </c>
      <c r="D6" t="s">
        <v>212</v>
      </c>
      <c r="E6">
        <v>69449</v>
      </c>
      <c r="F6" s="101">
        <f t="shared" si="0"/>
        <v>72613.999999998006</v>
      </c>
      <c r="G6" s="65">
        <v>485</v>
      </c>
      <c r="H6" s="65">
        <v>103</v>
      </c>
      <c r="I6" s="71">
        <v>36013</v>
      </c>
      <c r="J6" s="72">
        <v>32881</v>
      </c>
      <c r="K6" s="67" t="s">
        <v>18</v>
      </c>
      <c r="L6" s="67" t="s">
        <v>10</v>
      </c>
      <c r="M6" s="68" t="s">
        <v>19</v>
      </c>
      <c r="O6" s="62">
        <v>2960</v>
      </c>
      <c r="P6" s="64">
        <v>758</v>
      </c>
      <c r="Q6" s="63">
        <v>35634</v>
      </c>
      <c r="R6" s="64">
        <v>0</v>
      </c>
      <c r="S6"/>
    </row>
    <row r="7" spans="1:20">
      <c r="A7" t="s">
        <v>368</v>
      </c>
      <c r="B7" t="s">
        <v>33</v>
      </c>
      <c r="C7" s="65">
        <v>1</v>
      </c>
      <c r="D7" t="s">
        <v>212</v>
      </c>
      <c r="E7">
        <v>69449</v>
      </c>
      <c r="F7" s="101">
        <f t="shared" si="0"/>
        <v>72613.999999998006</v>
      </c>
      <c r="G7" s="65">
        <v>485</v>
      </c>
      <c r="H7" s="65">
        <v>103</v>
      </c>
      <c r="I7" s="71">
        <v>36013</v>
      </c>
      <c r="J7" s="72">
        <v>32881</v>
      </c>
      <c r="K7" s="67" t="s">
        <v>21</v>
      </c>
      <c r="L7" s="67" t="s">
        <v>10</v>
      </c>
      <c r="M7" s="68" t="s">
        <v>22</v>
      </c>
      <c r="O7" s="62">
        <v>2208</v>
      </c>
      <c r="P7" s="64">
        <v>436</v>
      </c>
      <c r="Q7" s="63">
        <v>35795</v>
      </c>
      <c r="R7" s="64">
        <v>0</v>
      </c>
      <c r="S7"/>
    </row>
    <row r="8" spans="1:20">
      <c r="A8" t="s">
        <v>368</v>
      </c>
      <c r="B8" t="s">
        <v>33</v>
      </c>
      <c r="C8" s="65">
        <v>1</v>
      </c>
      <c r="D8" t="s">
        <v>212</v>
      </c>
      <c r="E8">
        <v>69449</v>
      </c>
      <c r="F8" s="101">
        <f t="shared" si="0"/>
        <v>72613.999999998006</v>
      </c>
      <c r="G8" s="65">
        <v>485</v>
      </c>
      <c r="H8" s="65">
        <v>103</v>
      </c>
      <c r="I8" s="71">
        <v>36013</v>
      </c>
      <c r="J8" s="72">
        <v>32881</v>
      </c>
      <c r="K8" s="67" t="s">
        <v>24</v>
      </c>
      <c r="L8" s="67" t="s">
        <v>10</v>
      </c>
      <c r="M8" s="68">
        <v>3</v>
      </c>
      <c r="O8" s="62">
        <v>1341</v>
      </c>
      <c r="P8" s="64">
        <v>180</v>
      </c>
      <c r="Q8" s="63">
        <v>35923</v>
      </c>
      <c r="R8" s="64">
        <v>0</v>
      </c>
      <c r="S8"/>
    </row>
    <row r="9" spans="1:20">
      <c r="A9" t="s">
        <v>368</v>
      </c>
      <c r="B9" t="s">
        <v>33</v>
      </c>
      <c r="C9" s="65">
        <v>1</v>
      </c>
      <c r="D9" t="s">
        <v>212</v>
      </c>
      <c r="E9">
        <v>69449</v>
      </c>
      <c r="F9" s="101">
        <f t="shared" si="0"/>
        <v>72613.999999998006</v>
      </c>
      <c r="G9" s="65">
        <v>485</v>
      </c>
      <c r="H9" s="65">
        <v>103</v>
      </c>
      <c r="I9" s="71">
        <v>36013</v>
      </c>
      <c r="J9" s="72">
        <v>32881</v>
      </c>
      <c r="K9" s="67" t="s">
        <v>27</v>
      </c>
      <c r="L9" s="67" t="s">
        <v>10</v>
      </c>
      <c r="M9" s="68" t="s">
        <v>28</v>
      </c>
      <c r="O9" s="62">
        <v>1116</v>
      </c>
      <c r="P9" s="64">
        <v>52</v>
      </c>
      <c r="Q9" s="63">
        <v>35987</v>
      </c>
      <c r="R9" s="64">
        <v>0</v>
      </c>
      <c r="S9"/>
    </row>
    <row r="10" spans="1:20">
      <c r="A10" t="s">
        <v>368</v>
      </c>
      <c r="B10" t="s">
        <v>33</v>
      </c>
      <c r="C10" s="65">
        <v>1</v>
      </c>
      <c r="D10" t="s">
        <v>212</v>
      </c>
      <c r="E10">
        <v>69449</v>
      </c>
      <c r="F10" s="101">
        <f t="shared" si="0"/>
        <v>72613.999999998006</v>
      </c>
      <c r="G10" s="65">
        <v>485</v>
      </c>
      <c r="H10" s="65">
        <v>103</v>
      </c>
      <c r="I10" s="71">
        <v>36013</v>
      </c>
      <c r="J10" s="72">
        <v>32881</v>
      </c>
      <c r="K10" s="67" t="s">
        <v>30</v>
      </c>
      <c r="L10" s="67" t="s">
        <v>10</v>
      </c>
      <c r="M10" s="68" t="s">
        <v>31</v>
      </c>
      <c r="O10" s="64">
        <v>385</v>
      </c>
      <c r="P10" s="64">
        <v>0</v>
      </c>
      <c r="Q10" s="63">
        <v>36013</v>
      </c>
      <c r="R10" s="64">
        <v>0</v>
      </c>
      <c r="S10"/>
    </row>
    <row r="11" spans="1:20">
      <c r="A11" t="s">
        <v>368</v>
      </c>
      <c r="B11" t="s">
        <v>51</v>
      </c>
      <c r="C11" s="65">
        <v>3</v>
      </c>
      <c r="D11" t="s">
        <v>212</v>
      </c>
      <c r="E11">
        <v>13783</v>
      </c>
      <c r="F11" s="101">
        <f t="shared" si="0"/>
        <v>14125</v>
      </c>
      <c r="G11" s="65">
        <v>509</v>
      </c>
      <c r="H11" s="65">
        <v>38</v>
      </c>
      <c r="I11" s="72">
        <v>3394.500000001</v>
      </c>
      <c r="J11" s="72">
        <v>3064.6731997709999</v>
      </c>
      <c r="K11" s="69" t="s">
        <v>35</v>
      </c>
      <c r="L11" s="69" t="s">
        <v>36</v>
      </c>
      <c r="M11" s="70" t="s">
        <v>11</v>
      </c>
      <c r="N11" s="70">
        <v>1</v>
      </c>
      <c r="O11" s="62">
        <v>3421</v>
      </c>
      <c r="P11" s="62">
        <v>1087</v>
      </c>
      <c r="Q11" s="73">
        <v>3122.750000001</v>
      </c>
      <c r="R11" s="64">
        <v>0.88889495600000001</v>
      </c>
      <c r="T11" s="47"/>
    </row>
    <row r="12" spans="1:20">
      <c r="A12" t="s">
        <v>368</v>
      </c>
      <c r="B12" t="s">
        <v>51</v>
      </c>
      <c r="C12" s="65">
        <v>3</v>
      </c>
      <c r="D12" t="s">
        <v>212</v>
      </c>
      <c r="E12">
        <v>13783</v>
      </c>
      <c r="F12" s="101">
        <f t="shared" si="0"/>
        <v>14125</v>
      </c>
      <c r="G12" s="65">
        <v>509</v>
      </c>
      <c r="H12" s="65">
        <v>38</v>
      </c>
      <c r="I12" s="72">
        <v>3394.500000001</v>
      </c>
      <c r="J12" s="72">
        <v>3064.6731997709999</v>
      </c>
      <c r="K12" s="69" t="s">
        <v>37</v>
      </c>
      <c r="L12" s="69" t="s">
        <v>36</v>
      </c>
      <c r="M12" s="70" t="s">
        <v>11</v>
      </c>
      <c r="N12" s="70">
        <v>2</v>
      </c>
      <c r="O12" s="62">
        <v>3381</v>
      </c>
      <c r="P12" s="62">
        <v>1087</v>
      </c>
      <c r="Q12" s="73">
        <v>3122.750000001</v>
      </c>
      <c r="R12" s="64">
        <v>0.89541821700000002</v>
      </c>
      <c r="T12" s="47"/>
    </row>
    <row r="13" spans="1:20">
      <c r="A13" t="s">
        <v>368</v>
      </c>
      <c r="B13" t="s">
        <v>51</v>
      </c>
      <c r="C13" s="65">
        <v>3</v>
      </c>
      <c r="D13" t="s">
        <v>212</v>
      </c>
      <c r="E13">
        <v>13783</v>
      </c>
      <c r="F13" s="101">
        <f t="shared" si="0"/>
        <v>14125</v>
      </c>
      <c r="G13" s="65">
        <v>509</v>
      </c>
      <c r="H13" s="65">
        <v>38</v>
      </c>
      <c r="I13" s="72">
        <v>3394.500000001</v>
      </c>
      <c r="J13" s="72">
        <v>3064.6731997709999</v>
      </c>
      <c r="K13" s="69" t="s">
        <v>369</v>
      </c>
      <c r="L13" s="69" t="s">
        <v>36</v>
      </c>
      <c r="M13" s="70" t="s">
        <v>41</v>
      </c>
      <c r="N13" s="70">
        <v>3</v>
      </c>
      <c r="O13" s="62">
        <v>3088.2945055219998</v>
      </c>
      <c r="P13" s="62">
        <v>1319.307200918</v>
      </c>
      <c r="Q13" s="73">
        <v>3064.6731997709999</v>
      </c>
      <c r="R13" s="64">
        <v>1</v>
      </c>
      <c r="T13" s="47"/>
    </row>
    <row r="14" spans="1:20">
      <c r="A14" t="s">
        <v>368</v>
      </c>
      <c r="B14" t="s">
        <v>51</v>
      </c>
      <c r="C14" s="65">
        <v>3</v>
      </c>
      <c r="D14" t="s">
        <v>212</v>
      </c>
      <c r="E14">
        <v>13783</v>
      </c>
      <c r="F14" s="101">
        <f t="shared" si="0"/>
        <v>14125</v>
      </c>
      <c r="G14" s="65">
        <v>509</v>
      </c>
      <c r="H14" s="65">
        <v>38</v>
      </c>
      <c r="I14" s="72">
        <v>3394.500000001</v>
      </c>
      <c r="J14" s="72">
        <v>3064.6731997709999</v>
      </c>
      <c r="K14" t="s">
        <v>40</v>
      </c>
      <c r="L14" t="s">
        <v>10</v>
      </c>
      <c r="M14" s="65" t="s">
        <v>41</v>
      </c>
      <c r="O14" s="62">
        <v>2984.3603967469999</v>
      </c>
      <c r="P14" s="62">
        <v>1319.307200918</v>
      </c>
      <c r="Q14" s="73">
        <v>3064.6731997709999</v>
      </c>
      <c r="R14" s="64">
        <v>0</v>
      </c>
      <c r="T14" s="47"/>
    </row>
    <row r="15" spans="1:20">
      <c r="A15" t="s">
        <v>368</v>
      </c>
      <c r="B15" t="s">
        <v>51</v>
      </c>
      <c r="C15" s="65">
        <v>3</v>
      </c>
      <c r="D15" t="s">
        <v>212</v>
      </c>
      <c r="E15">
        <v>13783</v>
      </c>
      <c r="F15" s="101">
        <f t="shared" si="0"/>
        <v>14125</v>
      </c>
      <c r="G15" s="65">
        <v>509</v>
      </c>
      <c r="H15" s="65">
        <v>38</v>
      </c>
      <c r="I15" s="72">
        <v>3394.500000001</v>
      </c>
      <c r="J15" s="72">
        <v>3064.6731997709999</v>
      </c>
      <c r="K15" t="s">
        <v>42</v>
      </c>
      <c r="L15" t="s">
        <v>10</v>
      </c>
      <c r="M15" s="65" t="s">
        <v>16</v>
      </c>
      <c r="O15" s="62">
        <v>2060</v>
      </c>
      <c r="P15" s="64">
        <v>526</v>
      </c>
      <c r="Q15" s="73">
        <v>3263.000000001</v>
      </c>
      <c r="R15" s="64">
        <v>0</v>
      </c>
      <c r="T15" s="47"/>
    </row>
    <row r="16" spans="1:20">
      <c r="A16" t="s">
        <v>368</v>
      </c>
      <c r="B16" t="s">
        <v>51</v>
      </c>
      <c r="C16" s="65">
        <v>3</v>
      </c>
      <c r="D16" t="s">
        <v>212</v>
      </c>
      <c r="E16">
        <v>13783</v>
      </c>
      <c r="F16" s="101">
        <f t="shared" si="0"/>
        <v>14125</v>
      </c>
      <c r="G16" s="65">
        <v>509</v>
      </c>
      <c r="H16" s="65">
        <v>38</v>
      </c>
      <c r="I16" s="72">
        <v>3394.500000001</v>
      </c>
      <c r="J16" s="72">
        <v>3064.6731997709999</v>
      </c>
      <c r="K16" t="s">
        <v>43</v>
      </c>
      <c r="L16" t="s">
        <v>10</v>
      </c>
      <c r="M16" s="65" t="s">
        <v>19</v>
      </c>
      <c r="O16" s="62">
        <v>1501</v>
      </c>
      <c r="P16" s="64">
        <v>325</v>
      </c>
      <c r="Q16" s="73">
        <v>3313.250000001</v>
      </c>
      <c r="R16" s="64">
        <v>0</v>
      </c>
      <c r="T16" s="47"/>
    </row>
    <row r="17" spans="1:20">
      <c r="A17" t="s">
        <v>368</v>
      </c>
      <c r="B17" t="s">
        <v>51</v>
      </c>
      <c r="C17" s="65">
        <v>3</v>
      </c>
      <c r="D17" t="s">
        <v>212</v>
      </c>
      <c r="E17">
        <v>13783</v>
      </c>
      <c r="F17" s="101">
        <f t="shared" si="0"/>
        <v>14125</v>
      </c>
      <c r="G17" s="65">
        <v>509</v>
      </c>
      <c r="H17" s="65">
        <v>38</v>
      </c>
      <c r="I17" s="72">
        <v>3394.500000001</v>
      </c>
      <c r="J17" s="72">
        <v>3064.6731997709999</v>
      </c>
      <c r="K17" t="s">
        <v>44</v>
      </c>
      <c r="L17" t="s">
        <v>10</v>
      </c>
      <c r="M17" s="65" t="s">
        <v>22</v>
      </c>
      <c r="O17" s="62">
        <v>1211</v>
      </c>
      <c r="P17" s="64">
        <v>137</v>
      </c>
      <c r="Q17" s="73">
        <v>3360.250000001</v>
      </c>
      <c r="R17" s="64">
        <v>0</v>
      </c>
      <c r="T17" s="47"/>
    </row>
    <row r="18" spans="1:20">
      <c r="A18" t="s">
        <v>368</v>
      </c>
      <c r="B18" t="s">
        <v>51</v>
      </c>
      <c r="C18" s="65">
        <v>3</v>
      </c>
      <c r="D18" t="s">
        <v>212</v>
      </c>
      <c r="E18">
        <v>13783</v>
      </c>
      <c r="F18" s="101">
        <f t="shared" si="0"/>
        <v>14125</v>
      </c>
      <c r="G18" s="65">
        <v>509</v>
      </c>
      <c r="H18" s="65">
        <v>38</v>
      </c>
      <c r="I18" s="72">
        <v>3394.500000001</v>
      </c>
      <c r="J18" s="72">
        <v>3064.6731997709999</v>
      </c>
      <c r="K18" t="s">
        <v>45</v>
      </c>
      <c r="L18" t="s">
        <v>10</v>
      </c>
      <c r="M18" s="65" t="s">
        <v>46</v>
      </c>
      <c r="O18" s="64">
        <v>667</v>
      </c>
      <c r="P18" s="64">
        <v>47</v>
      </c>
      <c r="Q18" s="73">
        <v>3382.750000001</v>
      </c>
      <c r="R18" s="64">
        <v>0</v>
      </c>
      <c r="T18" s="47"/>
    </row>
    <row r="19" spans="1:20">
      <c r="A19" t="s">
        <v>368</v>
      </c>
      <c r="B19" t="s">
        <v>51</v>
      </c>
      <c r="C19" s="65">
        <v>3</v>
      </c>
      <c r="D19" t="s">
        <v>212</v>
      </c>
      <c r="E19">
        <v>13783</v>
      </c>
      <c r="F19" s="101">
        <f t="shared" si="0"/>
        <v>14125</v>
      </c>
      <c r="G19" s="65">
        <v>509</v>
      </c>
      <c r="H19" s="65">
        <v>38</v>
      </c>
      <c r="I19" s="72">
        <v>3394.500000001</v>
      </c>
      <c r="J19" s="72">
        <v>3064.6731997709999</v>
      </c>
      <c r="K19" t="s">
        <v>47</v>
      </c>
      <c r="L19" t="s">
        <v>10</v>
      </c>
      <c r="M19" s="65" t="s">
        <v>28</v>
      </c>
      <c r="O19" s="64">
        <v>199</v>
      </c>
      <c r="P19" s="64">
        <v>26</v>
      </c>
      <c r="Q19" s="73">
        <v>3388.000000001</v>
      </c>
      <c r="R19" s="64">
        <v>0</v>
      </c>
      <c r="T19" s="47"/>
    </row>
    <row r="20" spans="1:20">
      <c r="A20" t="s">
        <v>368</v>
      </c>
      <c r="B20" t="s">
        <v>51</v>
      </c>
      <c r="C20" s="65">
        <v>3</v>
      </c>
      <c r="D20" t="s">
        <v>212</v>
      </c>
      <c r="E20">
        <v>13783</v>
      </c>
      <c r="F20" s="101">
        <f t="shared" si="0"/>
        <v>14125</v>
      </c>
      <c r="G20" s="65">
        <v>509</v>
      </c>
      <c r="H20" s="65">
        <v>38</v>
      </c>
      <c r="I20" s="72">
        <v>3394.500000001</v>
      </c>
      <c r="J20" s="72">
        <v>3064.6731997709999</v>
      </c>
      <c r="K20" t="s">
        <v>49</v>
      </c>
      <c r="L20" t="s">
        <v>10</v>
      </c>
      <c r="M20" s="65" t="s">
        <v>31</v>
      </c>
      <c r="O20" s="64">
        <v>150</v>
      </c>
      <c r="P20" s="64">
        <v>0</v>
      </c>
      <c r="Q20" s="73">
        <v>3394.500000001</v>
      </c>
      <c r="R20" s="64">
        <v>0</v>
      </c>
      <c r="T20" s="47"/>
    </row>
    <row r="21" spans="1:20">
      <c r="A21" t="s">
        <v>368</v>
      </c>
      <c r="B21" t="s">
        <v>52</v>
      </c>
      <c r="C21" s="65">
        <v>3</v>
      </c>
      <c r="D21" t="s">
        <v>212</v>
      </c>
      <c r="E21">
        <v>17049</v>
      </c>
      <c r="F21" s="101">
        <f t="shared" si="0"/>
        <v>17559</v>
      </c>
      <c r="G21" s="65">
        <v>396</v>
      </c>
      <c r="H21" s="65">
        <v>53</v>
      </c>
      <c r="I21" s="72">
        <v>4277.5000000010004</v>
      </c>
      <c r="J21" s="72">
        <v>3948.6939443319998</v>
      </c>
      <c r="K21" s="69" t="s">
        <v>15</v>
      </c>
      <c r="L21" s="69" t="s">
        <v>36</v>
      </c>
      <c r="M21" s="70" t="s">
        <v>22</v>
      </c>
      <c r="N21" s="70">
        <v>1</v>
      </c>
      <c r="O21" s="64">
        <v>4401</v>
      </c>
      <c r="P21" s="64">
        <v>57</v>
      </c>
      <c r="Q21" s="64">
        <v>4263.2500000010004</v>
      </c>
      <c r="R21" s="64">
        <v>0.75392453199999998</v>
      </c>
      <c r="T21" s="47"/>
    </row>
    <row r="22" spans="1:20">
      <c r="A22" t="s">
        <v>368</v>
      </c>
      <c r="B22" t="s">
        <v>52</v>
      </c>
      <c r="C22" s="65">
        <v>3</v>
      </c>
      <c r="D22" t="s">
        <v>212</v>
      </c>
      <c r="E22">
        <v>17049</v>
      </c>
      <c r="F22" s="101">
        <f t="shared" si="0"/>
        <v>17559</v>
      </c>
      <c r="G22" s="65">
        <v>396</v>
      </c>
      <c r="H22" s="65">
        <v>53</v>
      </c>
      <c r="I22" s="72">
        <v>4277.5000000010004</v>
      </c>
      <c r="J22" s="72">
        <v>3948.6939443319998</v>
      </c>
      <c r="K22" s="69" t="s">
        <v>53</v>
      </c>
      <c r="L22" s="69" t="s">
        <v>36</v>
      </c>
      <c r="M22" s="70" t="s">
        <v>11</v>
      </c>
      <c r="N22" s="70">
        <v>2</v>
      </c>
      <c r="O22" s="64">
        <v>4396.7762117040002</v>
      </c>
      <c r="P22" s="64">
        <v>440.89275065200002</v>
      </c>
      <c r="Q22" s="64">
        <v>4167.2768123380001</v>
      </c>
      <c r="R22" s="64">
        <v>0.82139108299999997</v>
      </c>
      <c r="T22" s="47"/>
    </row>
    <row r="23" spans="1:20">
      <c r="A23" t="s">
        <v>368</v>
      </c>
      <c r="B23" t="s">
        <v>52</v>
      </c>
      <c r="C23" s="65">
        <v>3</v>
      </c>
      <c r="D23" t="s">
        <v>212</v>
      </c>
      <c r="E23">
        <v>17049</v>
      </c>
      <c r="F23" s="101">
        <f t="shared" si="0"/>
        <v>17559</v>
      </c>
      <c r="G23" s="65">
        <v>396</v>
      </c>
      <c r="H23" s="65">
        <v>53</v>
      </c>
      <c r="I23" s="72">
        <v>4277.5000000010004</v>
      </c>
      <c r="J23" s="72">
        <v>3948.6939443319998</v>
      </c>
      <c r="K23" s="69" t="s">
        <v>54</v>
      </c>
      <c r="L23" s="69" t="s">
        <v>36</v>
      </c>
      <c r="M23" s="70" t="s">
        <v>371</v>
      </c>
      <c r="N23" s="70">
        <v>3</v>
      </c>
      <c r="O23" s="64">
        <v>4219.2651852030003</v>
      </c>
      <c r="P23" s="64">
        <v>1315.224222674</v>
      </c>
      <c r="Q23" s="64">
        <v>3948.6939443319998</v>
      </c>
      <c r="R23" s="64">
        <v>1</v>
      </c>
      <c r="T23" s="47"/>
    </row>
    <row r="24" spans="1:20">
      <c r="A24" t="s">
        <v>368</v>
      </c>
      <c r="B24" t="s">
        <v>52</v>
      </c>
      <c r="C24" s="65">
        <v>3</v>
      </c>
      <c r="D24" t="s">
        <v>212</v>
      </c>
      <c r="E24">
        <v>17049</v>
      </c>
      <c r="F24" s="101">
        <f t="shared" si="0"/>
        <v>17559</v>
      </c>
      <c r="G24" s="65">
        <v>396</v>
      </c>
      <c r="H24" s="65">
        <v>53</v>
      </c>
      <c r="I24" s="72">
        <v>4277.5000000010004</v>
      </c>
      <c r="J24" s="72">
        <v>3948.6939443319998</v>
      </c>
      <c r="K24" t="s">
        <v>55</v>
      </c>
      <c r="L24" t="s">
        <v>10</v>
      </c>
      <c r="M24" s="65" t="s">
        <v>41</v>
      </c>
      <c r="O24" s="64">
        <v>3110.7386342499999</v>
      </c>
      <c r="P24" s="64">
        <v>1315.224222674</v>
      </c>
      <c r="Q24" s="64">
        <v>3948.6939443319998</v>
      </c>
      <c r="R24" s="64">
        <v>0</v>
      </c>
    </row>
    <row r="25" spans="1:20">
      <c r="A25" t="s">
        <v>368</v>
      </c>
      <c r="B25" t="s">
        <v>52</v>
      </c>
      <c r="C25" s="65">
        <v>3</v>
      </c>
      <c r="D25" t="s">
        <v>212</v>
      </c>
      <c r="E25">
        <v>17049</v>
      </c>
      <c r="F25" s="101">
        <f t="shared" si="0"/>
        <v>17559</v>
      </c>
      <c r="G25" s="65">
        <v>396</v>
      </c>
      <c r="H25" s="65">
        <v>53</v>
      </c>
      <c r="I25" s="72">
        <v>4277.5000000010004</v>
      </c>
      <c r="J25" s="72">
        <v>3948.6939443319998</v>
      </c>
      <c r="K25" t="s">
        <v>21</v>
      </c>
      <c r="L25" t="s">
        <v>10</v>
      </c>
      <c r="M25" s="65" t="s">
        <v>11</v>
      </c>
      <c r="O25" s="64">
        <v>1724.2493285319999</v>
      </c>
      <c r="P25" s="64">
        <v>440.89275065200002</v>
      </c>
      <c r="Q25" s="64">
        <v>4167.2768123380001</v>
      </c>
      <c r="R25" s="64">
        <v>0</v>
      </c>
    </row>
    <row r="26" spans="1:20">
      <c r="A26" t="s">
        <v>368</v>
      </c>
      <c r="B26" t="s">
        <v>52</v>
      </c>
      <c r="C26" s="65">
        <v>3</v>
      </c>
      <c r="D26" t="s">
        <v>212</v>
      </c>
      <c r="E26">
        <v>17049</v>
      </c>
      <c r="F26" s="101">
        <f t="shared" si="0"/>
        <v>17559</v>
      </c>
      <c r="G26" s="65">
        <v>396</v>
      </c>
      <c r="H26" s="65">
        <v>53</v>
      </c>
      <c r="I26" s="72">
        <v>4277.5000000010004</v>
      </c>
      <c r="J26" s="72">
        <v>3948.6939443319998</v>
      </c>
      <c r="K26" t="s">
        <v>56</v>
      </c>
      <c r="L26" t="s">
        <v>10</v>
      </c>
      <c r="M26" s="65" t="s">
        <v>16</v>
      </c>
      <c r="O26" s="64">
        <v>1161.680794889</v>
      </c>
      <c r="P26" s="64">
        <v>253.262805832</v>
      </c>
      <c r="Q26" s="64">
        <v>4214.1842985430003</v>
      </c>
      <c r="R26" s="64">
        <v>0</v>
      </c>
    </row>
    <row r="27" spans="1:20">
      <c r="A27" t="s">
        <v>368</v>
      </c>
      <c r="B27" t="s">
        <v>52</v>
      </c>
      <c r="C27" s="65">
        <v>3</v>
      </c>
      <c r="D27" t="s">
        <v>212</v>
      </c>
      <c r="E27">
        <v>17049</v>
      </c>
      <c r="F27" s="101">
        <f t="shared" si="0"/>
        <v>17559</v>
      </c>
      <c r="G27" s="65">
        <v>396</v>
      </c>
      <c r="H27" s="65">
        <v>53</v>
      </c>
      <c r="I27" s="72">
        <v>4277.5000000010004</v>
      </c>
      <c r="J27" s="72">
        <v>3948.6939443319998</v>
      </c>
      <c r="K27" t="s">
        <v>57</v>
      </c>
      <c r="L27" t="s">
        <v>10</v>
      </c>
      <c r="M27" s="65" t="s">
        <v>19</v>
      </c>
      <c r="O27" s="64">
        <v>873.08486679999999</v>
      </c>
      <c r="P27" s="64">
        <v>136.13843389600001</v>
      </c>
      <c r="Q27" s="64">
        <v>4243.4653915270001</v>
      </c>
      <c r="R27" s="64">
        <v>0</v>
      </c>
    </row>
    <row r="28" spans="1:20">
      <c r="A28" t="s">
        <v>368</v>
      </c>
      <c r="B28" t="s">
        <v>52</v>
      </c>
      <c r="C28" s="65">
        <v>3</v>
      </c>
      <c r="D28" t="s">
        <v>212</v>
      </c>
      <c r="E28">
        <v>17049</v>
      </c>
      <c r="F28" s="101">
        <f t="shared" si="0"/>
        <v>17559</v>
      </c>
      <c r="G28" s="65">
        <v>396</v>
      </c>
      <c r="H28" s="65">
        <v>53</v>
      </c>
      <c r="I28" s="72">
        <v>4277.5000000010004</v>
      </c>
      <c r="J28" s="72">
        <v>3948.6939443319998</v>
      </c>
      <c r="K28" t="s">
        <v>58</v>
      </c>
      <c r="L28" t="s">
        <v>10</v>
      </c>
      <c r="M28" s="65" t="s">
        <v>22</v>
      </c>
      <c r="O28" s="64">
        <v>607</v>
      </c>
      <c r="P28" s="64">
        <v>57</v>
      </c>
      <c r="Q28" s="64">
        <v>4263.2500000010004</v>
      </c>
      <c r="R28" s="64">
        <v>0</v>
      </c>
    </row>
    <row r="29" spans="1:20">
      <c r="A29" t="s">
        <v>368</v>
      </c>
      <c r="B29" t="s">
        <v>52</v>
      </c>
      <c r="C29" s="65">
        <v>3</v>
      </c>
      <c r="D29" t="s">
        <v>212</v>
      </c>
      <c r="E29">
        <v>17049</v>
      </c>
      <c r="F29" s="101">
        <f t="shared" si="0"/>
        <v>17559</v>
      </c>
      <c r="G29" s="65">
        <v>396</v>
      </c>
      <c r="H29" s="65">
        <v>53</v>
      </c>
      <c r="I29" s="72">
        <v>4277.5000000010004</v>
      </c>
      <c r="J29" s="72">
        <v>3948.6939443319998</v>
      </c>
      <c r="K29" t="s">
        <v>24</v>
      </c>
      <c r="L29" t="s">
        <v>10</v>
      </c>
      <c r="M29" s="65" t="s">
        <v>46</v>
      </c>
      <c r="O29" s="64">
        <v>379</v>
      </c>
      <c r="P29" s="64">
        <v>21</v>
      </c>
      <c r="Q29" s="64">
        <v>4272.2500000010004</v>
      </c>
      <c r="R29" s="64">
        <v>0</v>
      </c>
    </row>
    <row r="30" spans="1:20">
      <c r="A30" t="s">
        <v>368</v>
      </c>
      <c r="B30" t="s">
        <v>52</v>
      </c>
      <c r="C30" s="65">
        <v>3</v>
      </c>
      <c r="D30" t="s">
        <v>212</v>
      </c>
      <c r="E30">
        <v>17049</v>
      </c>
      <c r="F30" s="101">
        <f t="shared" si="0"/>
        <v>17559</v>
      </c>
      <c r="G30" s="65">
        <v>396</v>
      </c>
      <c r="H30" s="65">
        <v>53</v>
      </c>
      <c r="I30" s="72">
        <v>4277.5000000010004</v>
      </c>
      <c r="J30" s="72">
        <v>3948.6939443319998</v>
      </c>
      <c r="K30" t="s">
        <v>59</v>
      </c>
      <c r="L30" t="s">
        <v>10</v>
      </c>
      <c r="M30" s="65" t="s">
        <v>28</v>
      </c>
      <c r="O30" s="64">
        <v>173</v>
      </c>
      <c r="P30" s="64">
        <v>4</v>
      </c>
      <c r="Q30" s="64">
        <v>4276.5000000010004</v>
      </c>
      <c r="R30" s="64">
        <v>0</v>
      </c>
    </row>
    <row r="31" spans="1:20">
      <c r="A31" t="s">
        <v>368</v>
      </c>
      <c r="B31" t="s">
        <v>52</v>
      </c>
      <c r="C31" s="65">
        <v>3</v>
      </c>
      <c r="D31" t="s">
        <v>212</v>
      </c>
      <c r="E31">
        <v>17049</v>
      </c>
      <c r="F31" s="101">
        <f t="shared" si="0"/>
        <v>17559</v>
      </c>
      <c r="G31" s="65">
        <v>396</v>
      </c>
      <c r="H31" s="65">
        <v>53</v>
      </c>
      <c r="I31" s="72">
        <v>4277.5000000010004</v>
      </c>
      <c r="J31" s="72">
        <v>3948.6939443319998</v>
      </c>
      <c r="K31" t="s">
        <v>60</v>
      </c>
      <c r="L31" t="s">
        <v>10</v>
      </c>
      <c r="M31" s="65" t="s">
        <v>31</v>
      </c>
      <c r="O31" s="64">
        <v>113</v>
      </c>
      <c r="P31" s="64">
        <v>0</v>
      </c>
      <c r="Q31" s="64">
        <v>4277.5000000010004</v>
      </c>
      <c r="R31" s="64">
        <v>0</v>
      </c>
    </row>
    <row r="32" spans="1:20">
      <c r="A32" t="s">
        <v>368</v>
      </c>
      <c r="B32" t="s">
        <v>190</v>
      </c>
      <c r="C32" s="65">
        <v>3</v>
      </c>
      <c r="D32" t="s">
        <v>212</v>
      </c>
      <c r="E32">
        <v>11835</v>
      </c>
      <c r="F32" s="101">
        <f t="shared" si="0"/>
        <v>12795</v>
      </c>
      <c r="G32" s="65">
        <v>262</v>
      </c>
      <c r="H32" s="65">
        <v>40</v>
      </c>
      <c r="I32" s="72">
        <v>3123.250000001</v>
      </c>
      <c r="J32" s="72">
        <v>2799.9475108050001</v>
      </c>
      <c r="K32" s="100" t="s">
        <v>63</v>
      </c>
      <c r="L32" s="100" t="s">
        <v>36</v>
      </c>
      <c r="M32" s="70" t="s">
        <v>31</v>
      </c>
      <c r="N32" s="70">
        <v>1</v>
      </c>
      <c r="O32" s="64">
        <v>5206</v>
      </c>
      <c r="P32" s="64">
        <v>0</v>
      </c>
      <c r="Q32" s="64">
        <v>3123.250000001</v>
      </c>
      <c r="R32" s="64">
        <v>0.49304511600000001</v>
      </c>
    </row>
    <row r="33" spans="1:18">
      <c r="A33" t="s">
        <v>368</v>
      </c>
      <c r="B33" t="s">
        <v>190</v>
      </c>
      <c r="C33" s="65">
        <v>3</v>
      </c>
      <c r="D33" t="s">
        <v>212</v>
      </c>
      <c r="E33">
        <v>11835</v>
      </c>
      <c r="F33" s="101">
        <f t="shared" si="0"/>
        <v>12795</v>
      </c>
      <c r="G33" s="65">
        <v>262</v>
      </c>
      <c r="H33" s="65">
        <v>40</v>
      </c>
      <c r="I33" s="72">
        <v>3123.250000001</v>
      </c>
      <c r="J33" s="72">
        <v>2799.9475108050001</v>
      </c>
      <c r="K33" s="100" t="s">
        <v>64</v>
      </c>
      <c r="L33" s="100" t="s">
        <v>36</v>
      </c>
      <c r="M33" s="70" t="s">
        <v>65</v>
      </c>
      <c r="N33" s="70">
        <v>2</v>
      </c>
      <c r="O33" s="64">
        <v>3209.2571978000001</v>
      </c>
      <c r="P33" s="64">
        <v>1037.9705058520001</v>
      </c>
      <c r="Q33" s="64">
        <v>2863.7573735380001</v>
      </c>
      <c r="R33" s="64">
        <v>0.87388059399999996</v>
      </c>
    </row>
    <row r="34" spans="1:18">
      <c r="A34" t="s">
        <v>368</v>
      </c>
      <c r="B34" t="s">
        <v>190</v>
      </c>
      <c r="C34" s="65">
        <v>3</v>
      </c>
      <c r="D34" t="s">
        <v>212</v>
      </c>
      <c r="E34">
        <v>11835</v>
      </c>
      <c r="F34" s="101">
        <f t="shared" si="0"/>
        <v>12795</v>
      </c>
      <c r="G34" s="65">
        <v>262</v>
      </c>
      <c r="H34" s="65">
        <v>40</v>
      </c>
      <c r="I34" s="72">
        <v>3123.250000001</v>
      </c>
      <c r="J34" s="72">
        <v>2799.9475108050001</v>
      </c>
      <c r="K34" s="100" t="s">
        <v>66</v>
      </c>
      <c r="L34" s="100" t="s">
        <v>36</v>
      </c>
      <c r="M34" s="70" t="s">
        <v>67</v>
      </c>
      <c r="N34" s="70">
        <v>3</v>
      </c>
      <c r="O34" s="64">
        <v>2841.8768262240001</v>
      </c>
      <c r="P34" s="64">
        <v>1293.209956784</v>
      </c>
      <c r="Q34" s="64">
        <v>2799.9475108050001</v>
      </c>
      <c r="R34" s="64">
        <v>1</v>
      </c>
    </row>
    <row r="35" spans="1:18">
      <c r="A35" t="s">
        <v>368</v>
      </c>
      <c r="B35" t="s">
        <v>190</v>
      </c>
      <c r="C35" s="65">
        <v>3</v>
      </c>
      <c r="D35" t="s">
        <v>212</v>
      </c>
      <c r="E35">
        <v>11835</v>
      </c>
      <c r="F35" s="101">
        <f t="shared" si="0"/>
        <v>12795</v>
      </c>
      <c r="G35" s="65">
        <v>262</v>
      </c>
      <c r="H35" s="65">
        <v>40</v>
      </c>
      <c r="I35" s="72">
        <v>3123.250000001</v>
      </c>
      <c r="J35" s="72">
        <v>2799.9475108050001</v>
      </c>
      <c r="K35" s="97" t="s">
        <v>68</v>
      </c>
      <c r="L35" s="97" t="s">
        <v>10</v>
      </c>
      <c r="M35" s="98" t="s">
        <v>67</v>
      </c>
      <c r="O35" s="64">
        <v>2731.1381537840002</v>
      </c>
      <c r="P35" s="64">
        <v>1293.209956784</v>
      </c>
      <c r="Q35" s="64">
        <v>2799.9475108050001</v>
      </c>
      <c r="R35" s="64">
        <v>0</v>
      </c>
    </row>
    <row r="36" spans="1:18">
      <c r="A36" t="s">
        <v>368</v>
      </c>
      <c r="B36" t="s">
        <v>190</v>
      </c>
      <c r="C36" s="65">
        <v>3</v>
      </c>
      <c r="D36" t="s">
        <v>212</v>
      </c>
      <c r="E36">
        <v>11835</v>
      </c>
      <c r="F36" s="101">
        <f t="shared" si="0"/>
        <v>12795</v>
      </c>
      <c r="G36" s="65">
        <v>262</v>
      </c>
      <c r="H36" s="65">
        <v>40</v>
      </c>
      <c r="I36" s="72">
        <v>3123.250000001</v>
      </c>
      <c r="J36" s="72">
        <v>2799.9475108050001</v>
      </c>
      <c r="K36" s="97" t="s">
        <v>69</v>
      </c>
      <c r="L36" s="97" t="s">
        <v>10</v>
      </c>
      <c r="M36" s="98" t="s">
        <v>11</v>
      </c>
      <c r="O36" s="64">
        <v>1504.147458726</v>
      </c>
      <c r="P36" s="64">
        <v>663.48638539199999</v>
      </c>
      <c r="Q36" s="64">
        <v>2957.3784036530001</v>
      </c>
      <c r="R36" s="64">
        <v>0</v>
      </c>
    </row>
    <row r="37" spans="1:18">
      <c r="A37" t="s">
        <v>368</v>
      </c>
      <c r="B37" t="s">
        <v>190</v>
      </c>
      <c r="C37" s="65">
        <v>3</v>
      </c>
      <c r="D37" t="s">
        <v>212</v>
      </c>
      <c r="E37">
        <v>11835</v>
      </c>
      <c r="F37" s="101">
        <f t="shared" si="0"/>
        <v>12795</v>
      </c>
      <c r="G37" s="65">
        <v>262</v>
      </c>
      <c r="H37" s="65">
        <v>40</v>
      </c>
      <c r="I37" s="72">
        <v>3123.250000001</v>
      </c>
      <c r="J37" s="72">
        <v>2799.9475108050001</v>
      </c>
      <c r="K37" s="97" t="s">
        <v>70</v>
      </c>
      <c r="L37" s="97" t="s">
        <v>10</v>
      </c>
      <c r="M37" s="98" t="s">
        <v>16</v>
      </c>
      <c r="O37" s="64">
        <v>1047.83794362</v>
      </c>
      <c r="P37" s="64">
        <v>492.42221552000001</v>
      </c>
      <c r="Q37" s="64">
        <v>3000.1444461209999</v>
      </c>
      <c r="R37" s="64">
        <v>0</v>
      </c>
    </row>
    <row r="38" spans="1:18">
      <c r="A38" t="s">
        <v>368</v>
      </c>
      <c r="B38" t="s">
        <v>190</v>
      </c>
      <c r="C38" s="65">
        <v>3</v>
      </c>
      <c r="D38" t="s">
        <v>212</v>
      </c>
      <c r="E38">
        <v>11835</v>
      </c>
      <c r="F38" s="101">
        <f t="shared" si="0"/>
        <v>12795</v>
      </c>
      <c r="G38" s="65">
        <v>262</v>
      </c>
      <c r="H38" s="65">
        <v>40</v>
      </c>
      <c r="I38" s="72">
        <v>3123.250000001</v>
      </c>
      <c r="J38" s="72">
        <v>2799.9475108050001</v>
      </c>
      <c r="K38" s="99" t="s">
        <v>71</v>
      </c>
      <c r="L38" s="99" t="s">
        <v>10</v>
      </c>
      <c r="M38" s="98" t="s">
        <v>19</v>
      </c>
      <c r="O38" s="64">
        <v>773.40442919500003</v>
      </c>
      <c r="P38" s="64">
        <v>381.34807055499999</v>
      </c>
      <c r="Q38" s="64">
        <v>3027.9129823620001</v>
      </c>
      <c r="R38" s="64">
        <v>0</v>
      </c>
    </row>
    <row r="39" spans="1:18">
      <c r="A39" t="s">
        <v>368</v>
      </c>
      <c r="B39" t="s">
        <v>190</v>
      </c>
      <c r="C39" s="65">
        <v>3</v>
      </c>
      <c r="D39" t="s">
        <v>212</v>
      </c>
      <c r="E39">
        <v>11835</v>
      </c>
      <c r="F39" s="101">
        <f t="shared" si="0"/>
        <v>12795</v>
      </c>
      <c r="G39" s="65">
        <v>262</v>
      </c>
      <c r="H39" s="65">
        <v>40</v>
      </c>
      <c r="I39" s="72">
        <v>3123.250000001</v>
      </c>
      <c r="J39" s="72">
        <v>2799.9475108050001</v>
      </c>
      <c r="K39" s="99" t="s">
        <v>72</v>
      </c>
      <c r="L39" s="99" t="s">
        <v>10</v>
      </c>
      <c r="M39" s="98" t="s">
        <v>22</v>
      </c>
      <c r="O39" s="64">
        <v>429.18959375999998</v>
      </c>
      <c r="P39" s="64">
        <v>329.78439064000003</v>
      </c>
      <c r="Q39" s="64">
        <v>3040.8039023410001</v>
      </c>
      <c r="R39" s="64">
        <v>0</v>
      </c>
    </row>
    <row r="40" spans="1:18">
      <c r="A40" t="s">
        <v>368</v>
      </c>
      <c r="B40" t="s">
        <v>190</v>
      </c>
      <c r="C40" s="65">
        <v>3</v>
      </c>
      <c r="D40" t="s">
        <v>212</v>
      </c>
      <c r="E40">
        <v>11835</v>
      </c>
      <c r="F40" s="101">
        <f t="shared" si="0"/>
        <v>12795</v>
      </c>
      <c r="G40" s="65">
        <v>262</v>
      </c>
      <c r="H40" s="65">
        <v>40</v>
      </c>
      <c r="I40" s="72">
        <v>3123.250000001</v>
      </c>
      <c r="J40" s="72">
        <v>2799.9475108050001</v>
      </c>
      <c r="K40" s="99" t="s">
        <v>73</v>
      </c>
      <c r="L40" s="99" t="s">
        <v>10</v>
      </c>
      <c r="M40" s="98" t="s">
        <v>46</v>
      </c>
      <c r="O40" s="64">
        <v>285.98772750000001</v>
      </c>
      <c r="P40" s="64">
        <v>298.43441419999999</v>
      </c>
      <c r="Q40" s="64">
        <v>3048.6413964510002</v>
      </c>
      <c r="R40" s="64">
        <v>0</v>
      </c>
    </row>
    <row r="41" spans="1:18">
      <c r="A41" t="s">
        <v>368</v>
      </c>
      <c r="B41" t="s">
        <v>190</v>
      </c>
      <c r="C41" s="65">
        <v>3</v>
      </c>
      <c r="D41" t="s">
        <v>212</v>
      </c>
      <c r="E41">
        <v>11835</v>
      </c>
      <c r="F41" s="101">
        <f t="shared" si="0"/>
        <v>12795</v>
      </c>
      <c r="G41" s="65">
        <v>262</v>
      </c>
      <c r="H41" s="65">
        <v>40</v>
      </c>
      <c r="I41" s="72">
        <v>3123.250000001</v>
      </c>
      <c r="J41" s="72">
        <v>2799.9475108050001</v>
      </c>
      <c r="K41" s="99" t="s">
        <v>74</v>
      </c>
      <c r="L41" s="99" t="s">
        <v>10</v>
      </c>
      <c r="M41" s="98" t="s">
        <v>28</v>
      </c>
      <c r="O41" s="64">
        <v>76.200873990000005</v>
      </c>
      <c r="P41" s="64">
        <v>272.84585085999998</v>
      </c>
      <c r="Q41" s="64">
        <v>3055.0385372860001</v>
      </c>
      <c r="R41" s="64">
        <v>0</v>
      </c>
    </row>
    <row r="42" spans="1:18">
      <c r="A42" t="s">
        <v>368</v>
      </c>
      <c r="B42" t="s">
        <v>75</v>
      </c>
      <c r="C42" s="65">
        <v>3</v>
      </c>
      <c r="D42" t="s">
        <v>212</v>
      </c>
      <c r="E42">
        <v>13075</v>
      </c>
      <c r="F42" s="101">
        <f t="shared" si="0"/>
        <v>13637</v>
      </c>
      <c r="G42" s="65">
        <v>443</v>
      </c>
      <c r="H42" s="65">
        <v>96</v>
      </c>
      <c r="I42" s="71">
        <v>3274.500000001</v>
      </c>
      <c r="J42" s="71">
        <v>3042.250000001</v>
      </c>
      <c r="K42" s="69" t="s">
        <v>78</v>
      </c>
      <c r="L42" s="69" t="s">
        <v>36</v>
      </c>
      <c r="M42" s="70" t="s">
        <v>11</v>
      </c>
      <c r="N42" s="70">
        <v>1</v>
      </c>
      <c r="O42" s="64">
        <v>3387</v>
      </c>
      <c r="P42" s="64">
        <v>929</v>
      </c>
      <c r="Q42" s="64">
        <v>3042.250000001</v>
      </c>
      <c r="R42" s="64">
        <v>1</v>
      </c>
    </row>
    <row r="43" spans="1:18">
      <c r="A43" t="s">
        <v>368</v>
      </c>
      <c r="B43" t="s">
        <v>75</v>
      </c>
      <c r="C43" s="65">
        <v>3</v>
      </c>
      <c r="D43" t="s">
        <v>212</v>
      </c>
      <c r="E43">
        <v>13075</v>
      </c>
      <c r="F43" s="101">
        <f t="shared" si="0"/>
        <v>13637</v>
      </c>
      <c r="G43" s="65">
        <v>443</v>
      </c>
      <c r="H43" s="65">
        <v>96</v>
      </c>
      <c r="I43" s="71">
        <v>3274.500000001</v>
      </c>
      <c r="J43" s="71">
        <v>3042.250000001</v>
      </c>
      <c r="K43" s="69" t="s">
        <v>80</v>
      </c>
      <c r="L43" s="69" t="s">
        <v>36</v>
      </c>
      <c r="M43" s="70" t="s">
        <v>11</v>
      </c>
      <c r="N43" s="70">
        <v>2</v>
      </c>
      <c r="O43" s="64">
        <v>3199</v>
      </c>
      <c r="P43" s="64">
        <v>929</v>
      </c>
      <c r="Q43" s="64">
        <v>3042.250000001</v>
      </c>
      <c r="R43" s="64">
        <v>1</v>
      </c>
    </row>
    <row r="44" spans="1:18">
      <c r="A44" t="s">
        <v>368</v>
      </c>
      <c r="B44" t="s">
        <v>75</v>
      </c>
      <c r="C44" s="65">
        <v>3</v>
      </c>
      <c r="D44" t="s">
        <v>212</v>
      </c>
      <c r="E44">
        <v>13075</v>
      </c>
      <c r="F44" s="101">
        <f t="shared" si="0"/>
        <v>13637</v>
      </c>
      <c r="G44" s="65">
        <v>443</v>
      </c>
      <c r="H44" s="65">
        <v>96</v>
      </c>
      <c r="I44" s="71">
        <v>3274.500000001</v>
      </c>
      <c r="J44" s="71">
        <v>3042.250000001</v>
      </c>
      <c r="K44" s="69" t="s">
        <v>81</v>
      </c>
      <c r="L44" s="69" t="s">
        <v>36</v>
      </c>
      <c r="M44" s="70" t="s">
        <v>11</v>
      </c>
      <c r="N44" s="70">
        <v>3</v>
      </c>
      <c r="O44" s="64">
        <v>3071</v>
      </c>
      <c r="P44" s="64">
        <v>929</v>
      </c>
      <c r="Q44" s="64">
        <v>3042.250000001</v>
      </c>
      <c r="R44" s="64">
        <v>1</v>
      </c>
    </row>
    <row r="45" spans="1:18">
      <c r="A45" t="s">
        <v>368</v>
      </c>
      <c r="B45" t="s">
        <v>75</v>
      </c>
      <c r="C45" s="65">
        <v>3</v>
      </c>
      <c r="D45" t="s">
        <v>212</v>
      </c>
      <c r="E45">
        <v>13075</v>
      </c>
      <c r="F45" s="101">
        <f t="shared" si="0"/>
        <v>13637</v>
      </c>
      <c r="G45" s="65">
        <v>443</v>
      </c>
      <c r="H45" s="65">
        <v>96</v>
      </c>
      <c r="I45" s="71">
        <v>3274.500000001</v>
      </c>
      <c r="J45" s="71">
        <v>3042.250000001</v>
      </c>
      <c r="K45" t="s">
        <v>82</v>
      </c>
      <c r="L45" t="s">
        <v>10</v>
      </c>
      <c r="M45" s="65" t="s">
        <v>11</v>
      </c>
      <c r="O45" s="64">
        <v>2512</v>
      </c>
      <c r="P45" s="64">
        <v>929</v>
      </c>
      <c r="Q45" s="64">
        <v>3042.250000001</v>
      </c>
      <c r="R45" s="64">
        <v>0</v>
      </c>
    </row>
    <row r="46" spans="1:18">
      <c r="A46" t="s">
        <v>368</v>
      </c>
      <c r="B46" t="s">
        <v>75</v>
      </c>
      <c r="C46" s="65">
        <v>3</v>
      </c>
      <c r="D46" t="s">
        <v>212</v>
      </c>
      <c r="E46">
        <v>13075</v>
      </c>
      <c r="F46" s="101">
        <f t="shared" si="0"/>
        <v>13637</v>
      </c>
      <c r="G46" s="65">
        <v>443</v>
      </c>
      <c r="H46" s="65">
        <v>96</v>
      </c>
      <c r="I46" s="71">
        <v>3274.500000001</v>
      </c>
      <c r="J46" s="71">
        <v>3042.250000001</v>
      </c>
      <c r="K46" t="s">
        <v>84</v>
      </c>
      <c r="L46" t="s">
        <v>10</v>
      </c>
      <c r="M46" s="65" t="s">
        <v>16</v>
      </c>
      <c r="O46" s="64">
        <v>1982</v>
      </c>
      <c r="P46" s="64">
        <v>674</v>
      </c>
      <c r="Q46" s="64">
        <v>3106.000000001</v>
      </c>
      <c r="R46" s="64">
        <v>0</v>
      </c>
    </row>
    <row r="47" spans="1:18">
      <c r="A47" t="s">
        <v>368</v>
      </c>
      <c r="B47" t="s">
        <v>75</v>
      </c>
      <c r="C47" s="65">
        <v>3</v>
      </c>
      <c r="D47" t="s">
        <v>212</v>
      </c>
      <c r="E47">
        <v>13075</v>
      </c>
      <c r="F47" s="101">
        <f t="shared" si="0"/>
        <v>13637</v>
      </c>
      <c r="G47" s="65">
        <v>443</v>
      </c>
      <c r="H47" s="65">
        <v>96</v>
      </c>
      <c r="I47" s="71">
        <v>3274.500000001</v>
      </c>
      <c r="J47" s="71">
        <v>3042.250000001</v>
      </c>
      <c r="K47" t="s">
        <v>86</v>
      </c>
      <c r="L47" t="s">
        <v>10</v>
      </c>
      <c r="M47" s="65" t="s">
        <v>19</v>
      </c>
      <c r="O47" s="64">
        <v>1289</v>
      </c>
      <c r="P47" s="64">
        <v>329</v>
      </c>
      <c r="Q47" s="64">
        <v>3192.250000001</v>
      </c>
      <c r="R47" s="64">
        <v>0</v>
      </c>
    </row>
    <row r="48" spans="1:18">
      <c r="A48" t="s">
        <v>368</v>
      </c>
      <c r="B48" t="s">
        <v>75</v>
      </c>
      <c r="C48" s="65">
        <v>3</v>
      </c>
      <c r="D48" t="s">
        <v>212</v>
      </c>
      <c r="E48">
        <v>13075</v>
      </c>
      <c r="F48" s="101">
        <f t="shared" si="0"/>
        <v>13637</v>
      </c>
      <c r="G48" s="65">
        <v>443</v>
      </c>
      <c r="H48" s="65">
        <v>96</v>
      </c>
      <c r="I48" s="71">
        <v>3274.500000001</v>
      </c>
      <c r="J48" s="71">
        <v>3042.250000001</v>
      </c>
      <c r="K48" t="s">
        <v>88</v>
      </c>
      <c r="L48" t="s">
        <v>10</v>
      </c>
      <c r="M48" s="65" t="s">
        <v>22</v>
      </c>
      <c r="O48" s="64">
        <v>893</v>
      </c>
      <c r="P48" s="64">
        <v>153</v>
      </c>
      <c r="Q48" s="64">
        <v>3236.250000001</v>
      </c>
      <c r="R48" s="64">
        <v>0</v>
      </c>
    </row>
    <row r="49" spans="1:18">
      <c r="A49" t="s">
        <v>368</v>
      </c>
      <c r="B49" t="s">
        <v>75</v>
      </c>
      <c r="C49" s="65">
        <v>3</v>
      </c>
      <c r="D49" t="s">
        <v>212</v>
      </c>
      <c r="E49">
        <v>13075</v>
      </c>
      <c r="F49" s="101">
        <f t="shared" si="0"/>
        <v>13637</v>
      </c>
      <c r="G49" s="65">
        <v>443</v>
      </c>
      <c r="H49" s="65">
        <v>96</v>
      </c>
      <c r="I49" s="71">
        <v>3274.500000001</v>
      </c>
      <c r="J49" s="71">
        <v>3042.250000001</v>
      </c>
      <c r="K49" t="s">
        <v>89</v>
      </c>
      <c r="L49" t="s">
        <v>10</v>
      </c>
      <c r="M49" s="65" t="s">
        <v>46</v>
      </c>
      <c r="O49" s="64">
        <v>665</v>
      </c>
      <c r="P49" s="64">
        <v>52</v>
      </c>
      <c r="Q49" s="64">
        <v>3261.500000001</v>
      </c>
      <c r="R49" s="64">
        <v>0</v>
      </c>
    </row>
    <row r="50" spans="1:18">
      <c r="A50" t="s">
        <v>368</v>
      </c>
      <c r="B50" t="s">
        <v>75</v>
      </c>
      <c r="C50" s="65">
        <v>3</v>
      </c>
      <c r="D50" t="s">
        <v>212</v>
      </c>
      <c r="E50">
        <v>13075</v>
      </c>
      <c r="F50" s="101">
        <f t="shared" si="0"/>
        <v>13637</v>
      </c>
      <c r="G50" s="65">
        <v>443</v>
      </c>
      <c r="H50" s="65">
        <v>96</v>
      </c>
      <c r="I50" s="71">
        <v>3274.500000001</v>
      </c>
      <c r="J50" s="71">
        <v>3042.250000001</v>
      </c>
      <c r="K50" t="s">
        <v>91</v>
      </c>
      <c r="L50" t="s">
        <v>10</v>
      </c>
      <c r="M50" s="65" t="s">
        <v>28</v>
      </c>
      <c r="O50" s="64">
        <v>314</v>
      </c>
      <c r="P50" s="64">
        <v>14</v>
      </c>
      <c r="Q50" s="64">
        <v>3271.000000001</v>
      </c>
      <c r="R50" s="64">
        <v>0</v>
      </c>
    </row>
    <row r="51" spans="1:18">
      <c r="A51" t="s">
        <v>368</v>
      </c>
      <c r="B51" t="s">
        <v>75</v>
      </c>
      <c r="C51" s="65">
        <v>3</v>
      </c>
      <c r="D51" t="s">
        <v>212</v>
      </c>
      <c r="E51">
        <v>13075</v>
      </c>
      <c r="F51" s="101">
        <f t="shared" si="0"/>
        <v>13637</v>
      </c>
      <c r="G51" s="65">
        <v>443</v>
      </c>
      <c r="H51" s="65">
        <v>96</v>
      </c>
      <c r="I51" s="71">
        <v>3274.500000001</v>
      </c>
      <c r="J51" s="71">
        <v>3042.250000001</v>
      </c>
      <c r="K51" s="66" t="s">
        <v>93</v>
      </c>
      <c r="L51" s="66" t="s">
        <v>10</v>
      </c>
      <c r="M51" s="65" t="s">
        <v>31</v>
      </c>
      <c r="O51" s="64">
        <v>51</v>
      </c>
      <c r="P51" s="64">
        <v>0</v>
      </c>
      <c r="Q51" s="64">
        <v>3274.500000001</v>
      </c>
      <c r="R51" s="64">
        <v>0</v>
      </c>
    </row>
    <row r="52" spans="1:18">
      <c r="A52" t="s">
        <v>368</v>
      </c>
      <c r="B52" t="s">
        <v>95</v>
      </c>
      <c r="C52" s="65">
        <v>2</v>
      </c>
      <c r="D52" t="s">
        <v>212</v>
      </c>
      <c r="E52">
        <v>11967</v>
      </c>
      <c r="F52" s="101">
        <f t="shared" si="0"/>
        <v>12585.0135587</v>
      </c>
      <c r="G52" s="65">
        <v>339</v>
      </c>
      <c r="H52" s="65">
        <v>53</v>
      </c>
      <c r="I52" s="71">
        <v>4064.3378529010001</v>
      </c>
      <c r="J52" s="71">
        <v>3611.3093682949998</v>
      </c>
      <c r="K52" s="102" t="s">
        <v>97</v>
      </c>
      <c r="L52" s="102" t="s">
        <v>36</v>
      </c>
      <c r="M52" s="70" t="s">
        <v>98</v>
      </c>
      <c r="N52" s="70">
        <v>1</v>
      </c>
      <c r="O52" s="64">
        <v>4499</v>
      </c>
      <c r="P52" s="64">
        <v>0</v>
      </c>
      <c r="Q52" s="64">
        <v>4078.000000001</v>
      </c>
      <c r="R52" s="64">
        <v>0.75534784099999996</v>
      </c>
    </row>
    <row r="53" spans="1:18">
      <c r="A53" t="s">
        <v>368</v>
      </c>
      <c r="B53" t="s">
        <v>95</v>
      </c>
      <c r="C53" s="65">
        <v>2</v>
      </c>
      <c r="D53" t="s">
        <v>212</v>
      </c>
      <c r="E53">
        <v>11967</v>
      </c>
      <c r="F53" s="101">
        <f t="shared" si="0"/>
        <v>12585.0135587</v>
      </c>
      <c r="G53" s="65">
        <v>339</v>
      </c>
      <c r="H53" s="65">
        <v>53</v>
      </c>
      <c r="I53" s="71">
        <v>4064.3378529010001</v>
      </c>
      <c r="J53" s="71">
        <v>3611.3093682949998</v>
      </c>
      <c r="K53" s="102" t="s">
        <v>100</v>
      </c>
      <c r="L53" s="102" t="s">
        <v>36</v>
      </c>
      <c r="M53" s="70" t="s">
        <v>67</v>
      </c>
      <c r="N53" s="70">
        <v>2</v>
      </c>
      <c r="O53" s="64">
        <v>4013.0258601320002</v>
      </c>
      <c r="P53" s="64">
        <v>1400.0718951179999</v>
      </c>
      <c r="Q53" s="64">
        <v>3611.3093682949998</v>
      </c>
      <c r="R53" s="64">
        <v>1</v>
      </c>
    </row>
    <row r="54" spans="1:18">
      <c r="A54" t="s">
        <v>368</v>
      </c>
      <c r="B54" t="s">
        <v>95</v>
      </c>
      <c r="C54" s="65">
        <v>2</v>
      </c>
      <c r="D54" t="s">
        <v>212</v>
      </c>
      <c r="E54">
        <v>11967</v>
      </c>
      <c r="F54" s="101">
        <f t="shared" si="0"/>
        <v>12585.0135587</v>
      </c>
      <c r="G54" s="65">
        <v>339</v>
      </c>
      <c r="H54" s="65">
        <v>53</v>
      </c>
      <c r="I54" s="71">
        <v>4064.3378529010001</v>
      </c>
      <c r="J54" s="71">
        <v>3611.3093682949998</v>
      </c>
      <c r="K54" s="103" t="s">
        <v>102</v>
      </c>
      <c r="L54" s="103" t="s">
        <v>10</v>
      </c>
      <c r="M54" s="65" t="s">
        <v>67</v>
      </c>
      <c r="O54" s="64">
        <v>2891.5827758680002</v>
      </c>
      <c r="P54" s="64">
        <v>1400.0718951179999</v>
      </c>
      <c r="Q54" s="64">
        <v>3611.3093682949998</v>
      </c>
      <c r="R54" s="64">
        <v>0</v>
      </c>
    </row>
    <row r="55" spans="1:18">
      <c r="A55" t="s">
        <v>368</v>
      </c>
      <c r="B55" t="s">
        <v>95</v>
      </c>
      <c r="C55" s="65">
        <v>2</v>
      </c>
      <c r="D55" t="s">
        <v>212</v>
      </c>
      <c r="E55">
        <v>11967</v>
      </c>
      <c r="F55" s="101">
        <f t="shared" si="0"/>
        <v>12585.0135587</v>
      </c>
      <c r="G55" s="65">
        <v>339</v>
      </c>
      <c r="H55" s="65">
        <v>53</v>
      </c>
      <c r="I55" s="71">
        <v>4064.3378529010001</v>
      </c>
      <c r="J55" s="71">
        <v>3611.3093682949998</v>
      </c>
      <c r="K55" s="103" t="s">
        <v>104</v>
      </c>
      <c r="L55" s="103" t="s">
        <v>10</v>
      </c>
      <c r="M55" s="65" t="s">
        <v>41</v>
      </c>
      <c r="O55" s="64">
        <v>1495.8904207390001</v>
      </c>
      <c r="P55" s="64">
        <v>740.62725973900001</v>
      </c>
      <c r="Q55" s="64">
        <v>3831.1242467540001</v>
      </c>
      <c r="R55" s="64">
        <v>0</v>
      </c>
    </row>
    <row r="56" spans="1:18">
      <c r="A56" t="s">
        <v>368</v>
      </c>
      <c r="B56" t="s">
        <v>95</v>
      </c>
      <c r="C56" s="65">
        <v>2</v>
      </c>
      <c r="D56" t="s">
        <v>212</v>
      </c>
      <c r="E56">
        <v>11967</v>
      </c>
      <c r="F56" s="101">
        <f t="shared" si="0"/>
        <v>12585.0135587</v>
      </c>
      <c r="G56" s="65">
        <v>339</v>
      </c>
      <c r="H56" s="65">
        <v>53</v>
      </c>
      <c r="I56" s="71">
        <v>4064.3378529010001</v>
      </c>
      <c r="J56" s="71">
        <v>3611.3093682949998</v>
      </c>
      <c r="K56" s="103" t="s">
        <v>106</v>
      </c>
      <c r="L56" s="103" t="s">
        <v>10</v>
      </c>
      <c r="M56" s="65" t="s">
        <v>65</v>
      </c>
      <c r="O56" s="64">
        <v>805.77637647699999</v>
      </c>
      <c r="P56" s="64">
        <v>487.40237723199999</v>
      </c>
      <c r="Q56" s="64">
        <v>3915.5325409229999</v>
      </c>
      <c r="R56" s="64">
        <v>0</v>
      </c>
    </row>
    <row r="57" spans="1:18">
      <c r="A57" t="s">
        <v>368</v>
      </c>
      <c r="B57" t="s">
        <v>95</v>
      </c>
      <c r="C57" s="65">
        <v>2</v>
      </c>
      <c r="D57" t="s">
        <v>212</v>
      </c>
      <c r="E57">
        <v>11967</v>
      </c>
      <c r="F57" s="101">
        <f t="shared" si="0"/>
        <v>12585.0135587</v>
      </c>
      <c r="G57" s="65">
        <v>339</v>
      </c>
      <c r="H57" s="65">
        <v>53</v>
      </c>
      <c r="I57" s="71">
        <v>4064.3378529010001</v>
      </c>
      <c r="J57" s="71">
        <v>3611.3093682949998</v>
      </c>
      <c r="K57" s="103" t="s">
        <v>108</v>
      </c>
      <c r="L57" s="103" t="s">
        <v>10</v>
      </c>
      <c r="M57" s="65" t="s">
        <v>11</v>
      </c>
      <c r="O57" s="64">
        <v>761.50403766600004</v>
      </c>
      <c r="P57" s="64">
        <v>363.73563831199999</v>
      </c>
      <c r="Q57" s="64">
        <v>3956.7547872300001</v>
      </c>
      <c r="R57" s="64">
        <v>0</v>
      </c>
    </row>
    <row r="58" spans="1:18">
      <c r="A58" t="s">
        <v>368</v>
      </c>
      <c r="B58" t="s">
        <v>95</v>
      </c>
      <c r="C58" s="65">
        <v>2</v>
      </c>
      <c r="D58" t="s">
        <v>212</v>
      </c>
      <c r="E58">
        <v>11967</v>
      </c>
      <c r="F58" s="101">
        <f t="shared" si="0"/>
        <v>12585.0135587</v>
      </c>
      <c r="G58" s="65">
        <v>339</v>
      </c>
      <c r="H58" s="65">
        <v>53</v>
      </c>
      <c r="I58" s="71">
        <v>4064.3378529010001</v>
      </c>
      <c r="J58" s="71">
        <v>3611.3093682949998</v>
      </c>
      <c r="K58" s="103" t="s">
        <v>110</v>
      </c>
      <c r="L58" s="103" t="s">
        <v>10</v>
      </c>
      <c r="M58" s="65" t="s">
        <v>19</v>
      </c>
      <c r="O58" s="64">
        <v>551.07698330799997</v>
      </c>
      <c r="P58" s="64">
        <v>229.538883156</v>
      </c>
      <c r="Q58" s="64">
        <v>4001.4870389490002</v>
      </c>
      <c r="R58" s="64">
        <v>0</v>
      </c>
    </row>
    <row r="59" spans="1:18">
      <c r="A59" t="s">
        <v>368</v>
      </c>
      <c r="B59" t="s">
        <v>95</v>
      </c>
      <c r="C59" s="65">
        <v>2</v>
      </c>
      <c r="D59" t="s">
        <v>212</v>
      </c>
      <c r="E59">
        <v>11967</v>
      </c>
      <c r="F59" s="101">
        <f t="shared" si="0"/>
        <v>12585.0135587</v>
      </c>
      <c r="G59" s="65">
        <v>339</v>
      </c>
      <c r="H59" s="65">
        <v>53</v>
      </c>
      <c r="I59" s="71">
        <v>4064.3378529010001</v>
      </c>
      <c r="J59" s="71">
        <v>3611.3093682949998</v>
      </c>
      <c r="K59" s="103" t="s">
        <v>113</v>
      </c>
      <c r="L59" s="103" t="s">
        <v>10</v>
      </c>
      <c r="M59" s="65" t="s">
        <v>22</v>
      </c>
      <c r="O59" s="64">
        <v>439.40304389400001</v>
      </c>
      <c r="P59" s="64">
        <v>152.866996105</v>
      </c>
      <c r="Q59" s="64">
        <v>4027.0443346319998</v>
      </c>
      <c r="R59" s="64">
        <v>0</v>
      </c>
    </row>
    <row r="60" spans="1:18">
      <c r="A60" t="s">
        <v>368</v>
      </c>
      <c r="B60" t="s">
        <v>95</v>
      </c>
      <c r="C60" s="65">
        <v>2</v>
      </c>
      <c r="D60" t="s">
        <v>212</v>
      </c>
      <c r="E60">
        <v>11967</v>
      </c>
      <c r="F60" s="101">
        <f t="shared" si="0"/>
        <v>12585.0135587</v>
      </c>
      <c r="G60" s="65">
        <v>339</v>
      </c>
      <c r="H60" s="65">
        <v>53</v>
      </c>
      <c r="I60" s="71">
        <v>4064.3378529010001</v>
      </c>
      <c r="J60" s="71">
        <v>3611.3093682949998</v>
      </c>
      <c r="K60" s="103" t="s">
        <v>116</v>
      </c>
      <c r="L60" s="103" t="s">
        <v>10</v>
      </c>
      <c r="M60" s="65" t="s">
        <v>46</v>
      </c>
      <c r="O60" s="64">
        <v>332.60355730600003</v>
      </c>
      <c r="P60" s="64">
        <v>66.697975960999997</v>
      </c>
      <c r="Q60" s="64">
        <v>4055.7673413470002</v>
      </c>
      <c r="R60" s="64">
        <v>0</v>
      </c>
    </row>
    <row r="61" spans="1:18">
      <c r="A61" t="s">
        <v>368</v>
      </c>
      <c r="B61" t="s">
        <v>95</v>
      </c>
      <c r="C61" s="65">
        <v>2</v>
      </c>
      <c r="D61" t="s">
        <v>212</v>
      </c>
      <c r="E61">
        <v>11967</v>
      </c>
      <c r="F61" s="101">
        <f t="shared" si="0"/>
        <v>12585.0135587</v>
      </c>
      <c r="G61" s="65">
        <v>339</v>
      </c>
      <c r="H61" s="65">
        <v>53</v>
      </c>
      <c r="I61" s="71">
        <v>4064.3378529010001</v>
      </c>
      <c r="J61" s="71">
        <v>3611.3093682949998</v>
      </c>
      <c r="K61" s="103" t="s">
        <v>118</v>
      </c>
      <c r="L61" s="103" t="s">
        <v>10</v>
      </c>
      <c r="M61" s="65" t="s">
        <v>28</v>
      </c>
      <c r="O61" s="64">
        <v>262.1704823</v>
      </c>
      <c r="P61" s="64">
        <v>40.986441300000003</v>
      </c>
      <c r="Q61" s="64">
        <v>4064.3378529010001</v>
      </c>
      <c r="R61" s="64">
        <v>0</v>
      </c>
    </row>
    <row r="62" spans="1:18">
      <c r="A62" t="s">
        <v>368</v>
      </c>
      <c r="B62" t="s">
        <v>121</v>
      </c>
      <c r="C62" s="65">
        <v>1</v>
      </c>
      <c r="D62" t="s">
        <v>212</v>
      </c>
      <c r="E62">
        <v>1740</v>
      </c>
      <c r="F62" s="101">
        <f t="shared" si="0"/>
        <v>1870.999999998</v>
      </c>
      <c r="G62" s="65">
        <v>88</v>
      </c>
      <c r="H62" s="65">
        <v>7</v>
      </c>
      <c r="I62" s="71">
        <v>888</v>
      </c>
      <c r="J62" s="71">
        <v>839</v>
      </c>
      <c r="K62" s="69" t="s">
        <v>122</v>
      </c>
      <c r="L62" s="69" t="s">
        <v>36</v>
      </c>
      <c r="M62" s="70" t="s">
        <v>28</v>
      </c>
      <c r="N62" s="70">
        <v>1</v>
      </c>
      <c r="O62" s="64">
        <v>872</v>
      </c>
      <c r="P62" s="64">
        <v>99</v>
      </c>
      <c r="Q62" s="64">
        <v>839</v>
      </c>
      <c r="R62" s="64">
        <v>1</v>
      </c>
    </row>
    <row r="63" spans="1:18">
      <c r="A63" t="s">
        <v>368</v>
      </c>
      <c r="B63" t="s">
        <v>121</v>
      </c>
      <c r="C63" s="65">
        <v>1</v>
      </c>
      <c r="D63" t="s">
        <v>212</v>
      </c>
      <c r="E63">
        <v>1740</v>
      </c>
      <c r="F63" s="101">
        <f t="shared" si="0"/>
        <v>1870.999999998</v>
      </c>
      <c r="G63" s="65">
        <v>88</v>
      </c>
      <c r="H63" s="65">
        <v>7</v>
      </c>
      <c r="I63" s="71">
        <v>888</v>
      </c>
      <c r="J63" s="71">
        <v>839</v>
      </c>
      <c r="K63" t="s">
        <v>124</v>
      </c>
      <c r="L63" t="s">
        <v>125</v>
      </c>
      <c r="M63" s="65" t="s">
        <v>28</v>
      </c>
      <c r="O63" s="64">
        <v>805</v>
      </c>
      <c r="P63" s="64">
        <v>99</v>
      </c>
      <c r="Q63" s="64">
        <v>839</v>
      </c>
      <c r="R63" s="64">
        <v>0</v>
      </c>
    </row>
    <row r="64" spans="1:18">
      <c r="A64" t="s">
        <v>368</v>
      </c>
      <c r="B64" t="s">
        <v>121</v>
      </c>
      <c r="C64" s="65">
        <v>1</v>
      </c>
      <c r="D64" t="s">
        <v>212</v>
      </c>
      <c r="E64">
        <v>1740</v>
      </c>
      <c r="F64" s="101">
        <f t="shared" si="0"/>
        <v>1870.999999998</v>
      </c>
      <c r="G64" s="65">
        <v>88</v>
      </c>
      <c r="H64" s="65">
        <v>7</v>
      </c>
      <c r="I64" s="71">
        <v>888</v>
      </c>
      <c r="J64" s="71">
        <v>839</v>
      </c>
      <c r="K64" t="s">
        <v>127</v>
      </c>
      <c r="L64" t="s">
        <v>10</v>
      </c>
      <c r="M64" s="65" t="s">
        <v>31</v>
      </c>
      <c r="O64" s="64">
        <v>329</v>
      </c>
      <c r="P64" s="64">
        <v>0</v>
      </c>
      <c r="Q64" s="64">
        <v>888</v>
      </c>
      <c r="R64" s="64">
        <v>0</v>
      </c>
    </row>
    <row r="65" spans="1:18">
      <c r="A65" t="s">
        <v>368</v>
      </c>
      <c r="B65" t="s">
        <v>141</v>
      </c>
      <c r="C65" s="65">
        <v>6</v>
      </c>
      <c r="D65" t="s">
        <v>212</v>
      </c>
      <c r="F65" s="101">
        <f>(I65-0.000000001)*(C65+1)+G65+H65</f>
        <v>4350.9999999989996</v>
      </c>
      <c r="G65" s="65">
        <v>138</v>
      </c>
      <c r="H65" s="65">
        <v>14</v>
      </c>
      <c r="I65" s="71">
        <v>599.85714285799997</v>
      </c>
      <c r="J65" s="71">
        <v>555.37190716400005</v>
      </c>
      <c r="K65" s="69" t="s">
        <v>142</v>
      </c>
      <c r="L65" s="69" t="s">
        <v>36</v>
      </c>
      <c r="M65" s="70" t="s">
        <v>31</v>
      </c>
      <c r="O65" s="64">
        <v>1606</v>
      </c>
      <c r="P65" s="64">
        <v>0</v>
      </c>
      <c r="Q65" s="64">
        <v>599.85714285799997</v>
      </c>
      <c r="R65" s="64">
        <v>0.31038002199999998</v>
      </c>
    </row>
    <row r="66" spans="1:18">
      <c r="A66" t="s">
        <v>368</v>
      </c>
      <c r="B66" t="s">
        <v>141</v>
      </c>
      <c r="C66" s="65">
        <v>6</v>
      </c>
      <c r="D66" t="s">
        <v>212</v>
      </c>
      <c r="F66" s="101">
        <f>(I66-0.000000001)*(C66+1)+G66+H66</f>
        <v>4350.9999999989996</v>
      </c>
      <c r="G66" s="65">
        <v>138</v>
      </c>
      <c r="H66" s="65">
        <v>14</v>
      </c>
      <c r="I66" s="71">
        <v>599.85714285799997</v>
      </c>
      <c r="J66" s="71">
        <v>555.37190716400005</v>
      </c>
      <c r="K66" s="69" t="s">
        <v>143</v>
      </c>
      <c r="L66" s="69" t="s">
        <v>36</v>
      </c>
      <c r="M66" s="70" t="s">
        <v>28</v>
      </c>
      <c r="O66" s="64">
        <v>671.68341923599996</v>
      </c>
      <c r="P66" s="64">
        <v>97.732431887999994</v>
      </c>
      <c r="Q66" s="64">
        <v>585.89536687400005</v>
      </c>
      <c r="R66" s="64">
        <v>0.70548244800000004</v>
      </c>
    </row>
    <row r="67" spans="1:18">
      <c r="A67" t="s">
        <v>368</v>
      </c>
      <c r="B67" t="s">
        <v>141</v>
      </c>
      <c r="C67" s="65">
        <v>6</v>
      </c>
      <c r="D67" t="s">
        <v>212</v>
      </c>
      <c r="F67" s="101">
        <f>(I67-0.000000001)*(C67+1)+G67+H67</f>
        <v>4350.9999999989996</v>
      </c>
      <c r="G67" s="65">
        <v>138</v>
      </c>
      <c r="H67" s="65">
        <v>14</v>
      </c>
      <c r="I67" s="71">
        <v>599.85714285799997</v>
      </c>
      <c r="J67" s="71">
        <v>555.37190716400005</v>
      </c>
      <c r="K67" s="69" t="s">
        <v>144</v>
      </c>
      <c r="L67" s="69" t="s">
        <v>36</v>
      </c>
      <c r="M67" s="70" t="s">
        <v>46</v>
      </c>
      <c r="O67" s="64">
        <v>595.65844442699995</v>
      </c>
      <c r="P67" s="64">
        <v>108.03285938099999</v>
      </c>
      <c r="Q67" s="64">
        <v>584.423877232</v>
      </c>
      <c r="R67" s="64">
        <v>0.75241654700000005</v>
      </c>
    </row>
    <row r="68" spans="1:18">
      <c r="A68" t="s">
        <v>368</v>
      </c>
      <c r="B68" t="s">
        <v>141</v>
      </c>
      <c r="C68" s="65">
        <v>6</v>
      </c>
      <c r="D68" t="s">
        <v>212</v>
      </c>
      <c r="F68" s="101">
        <f>(I68-0.000000001)*(C68+1)+G68+H68</f>
        <v>4350.9999999989996</v>
      </c>
      <c r="G68" s="65">
        <v>138</v>
      </c>
      <c r="H68" s="65">
        <v>14</v>
      </c>
      <c r="I68" s="71">
        <v>599.85714285799997</v>
      </c>
      <c r="J68" s="71">
        <v>555.37190716400005</v>
      </c>
      <c r="K68" s="69" t="s">
        <v>145</v>
      </c>
      <c r="L68" s="69" t="s">
        <v>36</v>
      </c>
      <c r="M68" s="70" t="s">
        <v>65</v>
      </c>
      <c r="O68" s="64">
        <v>595.11182275700003</v>
      </c>
      <c r="P68" s="64">
        <v>262.93676303900003</v>
      </c>
      <c r="Q68" s="64">
        <v>562.29474813800005</v>
      </c>
      <c r="R68" s="64">
        <v>0.88967185400000004</v>
      </c>
    </row>
    <row r="69" spans="1:18">
      <c r="A69" t="s">
        <v>368</v>
      </c>
      <c r="B69" t="s">
        <v>141</v>
      </c>
      <c r="C69" s="65">
        <v>6</v>
      </c>
      <c r="D69" t="s">
        <v>212</v>
      </c>
      <c r="F69" s="101">
        <f>(I69-0.000000001)*(C69+1)+G69+H69</f>
        <v>4350.9999999989996</v>
      </c>
      <c r="G69" s="65">
        <v>138</v>
      </c>
      <c r="H69" s="65">
        <v>14</v>
      </c>
      <c r="I69" s="71">
        <v>599.85714285799997</v>
      </c>
      <c r="J69" s="71">
        <v>555.37190716400005</v>
      </c>
      <c r="K69" s="69" t="s">
        <v>146</v>
      </c>
      <c r="L69" s="69" t="s">
        <v>36</v>
      </c>
      <c r="M69" s="70" t="s">
        <v>41</v>
      </c>
      <c r="O69" s="64">
        <v>566.58288777099995</v>
      </c>
      <c r="P69" s="64">
        <v>286.303372513</v>
      </c>
      <c r="Q69" s="64">
        <v>558.95666107</v>
      </c>
      <c r="R69" s="64">
        <v>0.95302084499999995</v>
      </c>
    </row>
    <row r="70" spans="1:18">
      <c r="A70" t="s">
        <v>368</v>
      </c>
      <c r="B70" t="s">
        <v>141</v>
      </c>
      <c r="C70" s="65">
        <v>6</v>
      </c>
      <c r="D70" t="s">
        <v>212</v>
      </c>
      <c r="F70" s="101">
        <f>(I70-0.000000001)*(C70+1)+G70+H70</f>
        <v>4350.9999999989996</v>
      </c>
      <c r="G70" s="65">
        <v>138</v>
      </c>
      <c r="H70" s="65">
        <v>14</v>
      </c>
      <c r="I70" s="71">
        <v>599.85714285799997</v>
      </c>
      <c r="J70" s="71">
        <v>555.37190716400005</v>
      </c>
      <c r="K70" s="69" t="s">
        <v>147</v>
      </c>
      <c r="L70" s="69" t="s">
        <v>36</v>
      </c>
      <c r="M70" s="70" t="s">
        <v>148</v>
      </c>
      <c r="O70" s="64">
        <v>556.34738497700005</v>
      </c>
      <c r="P70" s="64">
        <v>311.39664985500002</v>
      </c>
      <c r="Q70" s="64">
        <v>555.37190716400005</v>
      </c>
      <c r="R70" s="64">
        <v>1</v>
      </c>
    </row>
    <row r="71" spans="1:18">
      <c r="A71" t="s">
        <v>368</v>
      </c>
      <c r="B71" t="s">
        <v>141</v>
      </c>
      <c r="C71" s="65">
        <v>6</v>
      </c>
      <c r="D71" t="s">
        <v>212</v>
      </c>
      <c r="F71" s="101">
        <f>(I71-0.000000001)*(C71+1)+G71+H71</f>
        <v>4350.9999999989996</v>
      </c>
      <c r="G71" s="65">
        <v>138</v>
      </c>
      <c r="H71" s="65">
        <v>14</v>
      </c>
      <c r="I71" s="71">
        <v>599.85714285799997</v>
      </c>
      <c r="J71" s="71">
        <v>555.37190716400005</v>
      </c>
      <c r="K71" t="s">
        <v>149</v>
      </c>
      <c r="L71" t="s">
        <v>10</v>
      </c>
      <c r="M71" s="65" t="s">
        <v>148</v>
      </c>
      <c r="O71" s="64">
        <v>537.28882003700005</v>
      </c>
      <c r="P71" s="64">
        <v>311.39664985500002</v>
      </c>
      <c r="Q71" s="64">
        <v>555.37190716400005</v>
      </c>
      <c r="R71" s="64">
        <v>0</v>
      </c>
    </row>
    <row r="72" spans="1:18">
      <c r="A72" t="s">
        <v>368</v>
      </c>
      <c r="B72" t="s">
        <v>141</v>
      </c>
      <c r="C72" s="65">
        <v>6</v>
      </c>
      <c r="D72" t="s">
        <v>212</v>
      </c>
      <c r="F72" s="101">
        <f>(I72-0.000000001)*(C72+1)+G72+H72</f>
        <v>4350.9999999989996</v>
      </c>
      <c r="G72" s="65">
        <v>138</v>
      </c>
      <c r="H72" s="65">
        <v>14</v>
      </c>
      <c r="I72" s="71">
        <v>599.85714285799997</v>
      </c>
      <c r="J72" s="71">
        <v>555.37190716400005</v>
      </c>
      <c r="K72" t="s">
        <v>150</v>
      </c>
      <c r="L72" t="s">
        <v>10</v>
      </c>
      <c r="M72" s="65" t="s">
        <v>11</v>
      </c>
      <c r="O72" s="64">
        <v>293.60979212199999</v>
      </c>
      <c r="P72" s="64">
        <v>197.97467449999999</v>
      </c>
      <c r="Q72" s="64">
        <v>571.57504650099997</v>
      </c>
      <c r="R72" s="64">
        <v>0</v>
      </c>
    </row>
    <row r="73" spans="1:18">
      <c r="A73" t="s">
        <v>368</v>
      </c>
      <c r="B73" t="s">
        <v>141</v>
      </c>
      <c r="C73" s="65">
        <v>6</v>
      </c>
      <c r="D73" t="s">
        <v>212</v>
      </c>
      <c r="F73" s="101">
        <f>(I73-0.000000001)*(C73+1)+G73+H73</f>
        <v>4350.9999999989996</v>
      </c>
      <c r="G73" s="65">
        <v>138</v>
      </c>
      <c r="H73" s="65">
        <v>14</v>
      </c>
      <c r="I73" s="71">
        <v>599.85714285799997</v>
      </c>
      <c r="J73" s="71">
        <v>555.37190716400005</v>
      </c>
      <c r="K73" t="s">
        <v>151</v>
      </c>
      <c r="L73" t="s">
        <v>10</v>
      </c>
      <c r="M73" s="65">
        <v>6</v>
      </c>
      <c r="O73" s="64">
        <v>238.735129497</v>
      </c>
      <c r="P73" s="64">
        <v>148.0805388</v>
      </c>
      <c r="Q73" s="64">
        <v>578.70278017199996</v>
      </c>
      <c r="R73" s="64">
        <v>0</v>
      </c>
    </row>
    <row r="74" spans="1:18">
      <c r="A74" t="s">
        <v>368</v>
      </c>
      <c r="B74" t="s">
        <v>141</v>
      </c>
      <c r="C74" s="65">
        <v>6</v>
      </c>
      <c r="D74" t="s">
        <v>212</v>
      </c>
      <c r="F74" s="101">
        <f>(I74-0.000000001)*(C74+1)+G74+H74</f>
        <v>4350.9999999989996</v>
      </c>
      <c r="G74" s="65">
        <v>138</v>
      </c>
      <c r="H74" s="65">
        <v>14</v>
      </c>
      <c r="I74" s="71">
        <v>599.85714285799997</v>
      </c>
      <c r="J74" s="71">
        <v>555.37190716400005</v>
      </c>
      <c r="K74" t="s">
        <v>153</v>
      </c>
      <c r="L74" t="s">
        <v>10</v>
      </c>
      <c r="M74" s="65" t="s">
        <v>22</v>
      </c>
      <c r="O74" s="64">
        <v>105.33429125000001</v>
      </c>
      <c r="P74" s="64">
        <v>124.864986333</v>
      </c>
      <c r="Q74" s="64">
        <v>582.01928766699996</v>
      </c>
      <c r="R74" s="64">
        <v>0</v>
      </c>
    </row>
    <row r="75" spans="1:18">
      <c r="A75" t="s">
        <v>368</v>
      </c>
      <c r="B75" t="s">
        <v>141</v>
      </c>
      <c r="C75" s="65">
        <v>6</v>
      </c>
      <c r="D75" t="s">
        <v>212</v>
      </c>
      <c r="F75" s="101">
        <f>(I75-0.000000001)*(C75+1)+G75+H75</f>
        <v>4350.9999999989996</v>
      </c>
      <c r="G75" s="65">
        <v>138</v>
      </c>
      <c r="H75" s="65">
        <v>14</v>
      </c>
      <c r="I75" s="71">
        <v>599.85714285799997</v>
      </c>
      <c r="J75" s="71">
        <v>555.37190716400005</v>
      </c>
      <c r="K75" t="s">
        <v>154</v>
      </c>
      <c r="L75" t="s">
        <v>10</v>
      </c>
      <c r="M75" s="65" t="s">
        <v>46</v>
      </c>
      <c r="O75" s="64">
        <v>69.063265180000002</v>
      </c>
      <c r="P75" s="64">
        <v>108.03285938099999</v>
      </c>
      <c r="Q75" s="64">
        <v>584.423877232</v>
      </c>
      <c r="R75" s="64">
        <v>0</v>
      </c>
    </row>
  </sheetData>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72C1-583E-478D-AB5F-347F468B77A9}">
  <dimension ref="A1:K143"/>
  <sheetViews>
    <sheetView tabSelected="1" workbookViewId="0">
      <selection activeCell="A7" sqref="A7"/>
    </sheetView>
  </sheetViews>
  <sheetFormatPr defaultRowHeight="14.25"/>
  <sheetData>
    <row r="1" spans="1:6">
      <c r="B1" t="s">
        <v>158</v>
      </c>
    </row>
    <row r="2" spans="1:6">
      <c r="A2" t="s">
        <v>374</v>
      </c>
      <c r="B2" s="11" t="s">
        <v>156</v>
      </c>
    </row>
    <row r="3" spans="1:6">
      <c r="A3" t="s">
        <v>375</v>
      </c>
      <c r="B3" s="11" t="s">
        <v>159</v>
      </c>
    </row>
    <row r="4" spans="1:6">
      <c r="A4" t="s">
        <v>177</v>
      </c>
      <c r="B4" s="11" t="s">
        <v>170</v>
      </c>
      <c r="C4" s="12"/>
      <c r="D4" s="12"/>
      <c r="E4" s="12"/>
      <c r="F4" s="12"/>
    </row>
    <row r="5" spans="1:6">
      <c r="B5" s="11"/>
      <c r="C5" s="12"/>
      <c r="D5" s="12"/>
      <c r="E5" s="12"/>
      <c r="F5" s="12"/>
    </row>
    <row r="6" spans="1:6">
      <c r="A6" t="s">
        <v>376</v>
      </c>
    </row>
    <row r="7" spans="1:6">
      <c r="A7" t="s">
        <v>381</v>
      </c>
    </row>
    <row r="8" spans="1:6">
      <c r="A8" s="11"/>
      <c r="B8" s="11" t="s">
        <v>378</v>
      </c>
    </row>
    <row r="9" spans="1:6">
      <c r="A9" t="s">
        <v>380</v>
      </c>
      <c r="B9" s="11"/>
    </row>
    <row r="11" spans="1:6">
      <c r="A11" t="s">
        <v>379</v>
      </c>
    </row>
    <row r="14" spans="1:6">
      <c r="A14" t="s">
        <v>168</v>
      </c>
    </row>
    <row r="16" spans="1:6">
      <c r="A16" t="s">
        <v>33</v>
      </c>
    </row>
    <row r="17" spans="1:11">
      <c r="A17" t="s">
        <v>155</v>
      </c>
    </row>
    <row r="18" spans="1:11">
      <c r="A18" s="1" t="s">
        <v>0</v>
      </c>
    </row>
    <row r="19" spans="1:11">
      <c r="A19" s="2" t="s">
        <v>1</v>
      </c>
      <c r="B19" s="2" t="s">
        <v>2</v>
      </c>
      <c r="C19" s="2" t="s">
        <v>3</v>
      </c>
      <c r="D19" s="2" t="s">
        <v>4</v>
      </c>
    </row>
    <row r="20" spans="1:11">
      <c r="A20" s="1" t="s">
        <v>5</v>
      </c>
      <c r="B20" s="3" t="s">
        <v>6</v>
      </c>
      <c r="C20" s="4" t="s">
        <v>7</v>
      </c>
      <c r="D20" s="5" t="s">
        <v>8</v>
      </c>
    </row>
    <row r="21" spans="1:11">
      <c r="A21" s="3" t="s">
        <v>9</v>
      </c>
      <c r="B21" s="3" t="s">
        <v>10</v>
      </c>
      <c r="C21" s="4" t="s">
        <v>11</v>
      </c>
      <c r="D21" s="6" t="s">
        <v>12</v>
      </c>
    </row>
    <row r="22" spans="1:11">
      <c r="A22" s="3" t="s">
        <v>13</v>
      </c>
      <c r="B22" s="3" t="s">
        <v>10</v>
      </c>
      <c r="C22" s="4" t="s">
        <v>11</v>
      </c>
      <c r="D22" s="6" t="s">
        <v>14</v>
      </c>
    </row>
    <row r="23" spans="1:11">
      <c r="A23" s="3" t="s">
        <v>15</v>
      </c>
      <c r="B23" s="3" t="s">
        <v>10</v>
      </c>
      <c r="C23" s="4" t="s">
        <v>16</v>
      </c>
      <c r="D23" s="6" t="s">
        <v>17</v>
      </c>
      <c r="K23" t="s">
        <v>169</v>
      </c>
    </row>
    <row r="24" spans="1:11">
      <c r="A24" s="3" t="s">
        <v>18</v>
      </c>
      <c r="B24" s="3" t="s">
        <v>10</v>
      </c>
      <c r="C24" s="4" t="s">
        <v>19</v>
      </c>
      <c r="D24" s="6" t="s">
        <v>20</v>
      </c>
    </row>
    <row r="25" spans="1:11">
      <c r="A25" s="3" t="s">
        <v>21</v>
      </c>
      <c r="B25" s="3" t="s">
        <v>10</v>
      </c>
      <c r="C25" s="4" t="s">
        <v>22</v>
      </c>
      <c r="D25" s="6" t="s">
        <v>23</v>
      </c>
    </row>
    <row r="26" spans="1:11" ht="18">
      <c r="A26" s="3" t="s">
        <v>24</v>
      </c>
      <c r="B26" s="3" t="s">
        <v>10</v>
      </c>
      <c r="C26" s="4" t="s">
        <v>25</v>
      </c>
      <c r="D26" s="6" t="s">
        <v>26</v>
      </c>
    </row>
    <row r="27" spans="1:11">
      <c r="A27" s="3" t="s">
        <v>27</v>
      </c>
      <c r="B27" s="3" t="s">
        <v>10</v>
      </c>
      <c r="C27" s="4" t="s">
        <v>28</v>
      </c>
      <c r="D27" s="6" t="s">
        <v>29</v>
      </c>
    </row>
    <row r="28" spans="1:11" ht="27">
      <c r="A28" s="3" t="s">
        <v>30</v>
      </c>
      <c r="B28" s="3" t="s">
        <v>10</v>
      </c>
      <c r="C28" s="4" t="s">
        <v>31</v>
      </c>
      <c r="D28" s="6" t="s">
        <v>32</v>
      </c>
    </row>
    <row r="29" spans="1:11">
      <c r="A29" s="3"/>
    </row>
    <row r="31" spans="1:11">
      <c r="A31" t="s">
        <v>51</v>
      </c>
    </row>
    <row r="32" spans="1:11">
      <c r="A32" t="s">
        <v>157</v>
      </c>
    </row>
    <row r="33" spans="1:4">
      <c r="A33" s="1" t="s">
        <v>34</v>
      </c>
    </row>
    <row r="34" spans="1:4">
      <c r="A34" s="2" t="s">
        <v>1</v>
      </c>
      <c r="B34" s="2" t="s">
        <v>2</v>
      </c>
      <c r="C34" s="2" t="s">
        <v>3</v>
      </c>
      <c r="D34" s="2" t="s">
        <v>4</v>
      </c>
    </row>
    <row r="35" spans="1:4">
      <c r="A35" s="1" t="s">
        <v>35</v>
      </c>
      <c r="B35" s="1" t="s">
        <v>36</v>
      </c>
      <c r="C35" s="7" t="s">
        <v>11</v>
      </c>
      <c r="D35" s="9">
        <v>3421</v>
      </c>
    </row>
    <row r="36" spans="1:4">
      <c r="A36" s="1" t="s">
        <v>37</v>
      </c>
      <c r="B36" s="1" t="s">
        <v>36</v>
      </c>
      <c r="C36" s="7" t="s">
        <v>11</v>
      </c>
      <c r="D36" s="9">
        <v>3381</v>
      </c>
    </row>
    <row r="37" spans="1:4" ht="18">
      <c r="A37" s="1" t="s">
        <v>38</v>
      </c>
      <c r="B37" s="1" t="s">
        <v>36</v>
      </c>
      <c r="C37" s="4" t="s">
        <v>39</v>
      </c>
      <c r="D37" s="9">
        <v>3088.29</v>
      </c>
    </row>
    <row r="38" spans="1:4">
      <c r="A38" s="3" t="s">
        <v>40</v>
      </c>
      <c r="B38" s="3" t="s">
        <v>10</v>
      </c>
      <c r="C38" s="4" t="s">
        <v>41</v>
      </c>
      <c r="D38" s="10">
        <v>2984.36</v>
      </c>
    </row>
    <row r="39" spans="1:4">
      <c r="A39" s="3" t="s">
        <v>42</v>
      </c>
      <c r="B39" s="3" t="s">
        <v>10</v>
      </c>
      <c r="C39" s="4" t="s">
        <v>16</v>
      </c>
      <c r="D39" s="10">
        <v>2060</v>
      </c>
    </row>
    <row r="40" spans="1:4" ht="18">
      <c r="A40" s="3" t="s">
        <v>43</v>
      </c>
      <c r="B40" s="3" t="s">
        <v>10</v>
      </c>
      <c r="C40" s="4" t="s">
        <v>19</v>
      </c>
      <c r="D40" s="10">
        <v>1501</v>
      </c>
    </row>
    <row r="41" spans="1:4">
      <c r="A41" s="3" t="s">
        <v>44</v>
      </c>
      <c r="B41" s="3" t="s">
        <v>10</v>
      </c>
      <c r="C41" s="4" t="s">
        <v>22</v>
      </c>
      <c r="D41" s="10">
        <v>1211</v>
      </c>
    </row>
    <row r="42" spans="1:4" ht="18">
      <c r="A42" s="3" t="s">
        <v>45</v>
      </c>
      <c r="B42" s="3" t="s">
        <v>10</v>
      </c>
      <c r="C42" s="4" t="s">
        <v>46</v>
      </c>
      <c r="D42" s="6">
        <v>667</v>
      </c>
    </row>
    <row r="43" spans="1:4" ht="18">
      <c r="A43" s="3" t="s">
        <v>47</v>
      </c>
      <c r="B43" s="3" t="s">
        <v>10</v>
      </c>
      <c r="C43" s="4" t="s">
        <v>28</v>
      </c>
      <c r="D43" s="6" t="s">
        <v>48</v>
      </c>
    </row>
    <row r="44" spans="1:4">
      <c r="A44" s="3" t="s">
        <v>49</v>
      </c>
      <c r="B44" s="3" t="s">
        <v>10</v>
      </c>
      <c r="C44" s="4" t="s">
        <v>31</v>
      </c>
      <c r="D44" s="6" t="s">
        <v>50</v>
      </c>
    </row>
    <row r="45" spans="1:4">
      <c r="A45" s="3"/>
    </row>
    <row r="47" spans="1:4">
      <c r="A47" t="s">
        <v>52</v>
      </c>
    </row>
    <row r="48" spans="1:4">
      <c r="A48" t="s">
        <v>160</v>
      </c>
    </row>
    <row r="49" spans="1:4">
      <c r="A49" t="s">
        <v>34</v>
      </c>
    </row>
    <row r="50" spans="1:4">
      <c r="A50" s="2" t="s">
        <v>1</v>
      </c>
      <c r="B50" s="2" t="s">
        <v>2</v>
      </c>
      <c r="C50" s="2" t="s">
        <v>3</v>
      </c>
      <c r="D50" s="2" t="s">
        <v>4</v>
      </c>
    </row>
    <row r="51" spans="1:4">
      <c r="A51" s="1" t="s">
        <v>15</v>
      </c>
      <c r="B51" s="1" t="s">
        <v>36</v>
      </c>
      <c r="C51" s="7" t="s">
        <v>22</v>
      </c>
      <c r="D51" s="9">
        <v>4401</v>
      </c>
    </row>
    <row r="52" spans="1:4">
      <c r="A52" s="1" t="s">
        <v>53</v>
      </c>
      <c r="B52" s="1" t="s">
        <v>36</v>
      </c>
      <c r="C52" s="7" t="s">
        <v>11</v>
      </c>
      <c r="D52" s="9">
        <v>4396.78</v>
      </c>
    </row>
    <row r="53" spans="1:4" ht="18">
      <c r="A53" s="1" t="s">
        <v>54</v>
      </c>
      <c r="B53" s="1" t="s">
        <v>36</v>
      </c>
      <c r="C53" s="4" t="s">
        <v>39</v>
      </c>
      <c r="D53" s="9">
        <v>4219.2700000000004</v>
      </c>
    </row>
    <row r="54" spans="1:4" ht="18">
      <c r="A54" s="3" t="s">
        <v>55</v>
      </c>
      <c r="B54" s="3" t="s">
        <v>10</v>
      </c>
      <c r="C54" s="4" t="s">
        <v>41</v>
      </c>
      <c r="D54" s="10">
        <v>3110.74</v>
      </c>
    </row>
    <row r="55" spans="1:4">
      <c r="A55" s="3" t="s">
        <v>21</v>
      </c>
      <c r="B55" s="3" t="s">
        <v>10</v>
      </c>
      <c r="C55" s="4" t="s">
        <v>11</v>
      </c>
      <c r="D55" s="10">
        <v>1724.25</v>
      </c>
    </row>
    <row r="56" spans="1:4" ht="18">
      <c r="A56" s="3" t="s">
        <v>56</v>
      </c>
      <c r="B56" s="3" t="s">
        <v>10</v>
      </c>
      <c r="C56" s="4" t="s">
        <v>16</v>
      </c>
      <c r="D56" s="10">
        <v>1161.68</v>
      </c>
    </row>
    <row r="57" spans="1:4">
      <c r="A57" s="3" t="s">
        <v>57</v>
      </c>
      <c r="B57" s="3" t="s">
        <v>10</v>
      </c>
      <c r="C57" s="4" t="s">
        <v>19</v>
      </c>
      <c r="D57" s="6">
        <v>873.08</v>
      </c>
    </row>
    <row r="58" spans="1:4">
      <c r="A58" s="3" t="s">
        <v>58</v>
      </c>
      <c r="B58" s="3" t="s">
        <v>10</v>
      </c>
      <c r="C58" s="4" t="s">
        <v>22</v>
      </c>
      <c r="D58" s="6">
        <v>607</v>
      </c>
    </row>
    <row r="59" spans="1:4" ht="18">
      <c r="A59" s="3" t="s">
        <v>24</v>
      </c>
      <c r="B59" s="3" t="s">
        <v>10</v>
      </c>
      <c r="C59" s="4" t="s">
        <v>46</v>
      </c>
      <c r="D59" s="6">
        <v>379</v>
      </c>
    </row>
    <row r="60" spans="1:4" ht="18">
      <c r="A60" s="3" t="s">
        <v>59</v>
      </c>
      <c r="B60" s="3" t="s">
        <v>10</v>
      </c>
      <c r="C60" s="4" t="s">
        <v>28</v>
      </c>
      <c r="D60" s="6">
        <v>173</v>
      </c>
    </row>
    <row r="61" spans="1:4" ht="18">
      <c r="A61" s="3" t="s">
        <v>60</v>
      </c>
      <c r="B61" s="3" t="s">
        <v>10</v>
      </c>
      <c r="C61" s="4" t="s">
        <v>31</v>
      </c>
      <c r="D61" s="6" t="s">
        <v>61</v>
      </c>
    </row>
    <row r="63" spans="1:4">
      <c r="A63" t="s">
        <v>62</v>
      </c>
    </row>
    <row r="64" spans="1:4">
      <c r="A64" t="s">
        <v>161</v>
      </c>
    </row>
    <row r="65" spans="1:4">
      <c r="A65" t="s">
        <v>34</v>
      </c>
    </row>
    <row r="66" spans="1:4">
      <c r="A66" t="s">
        <v>1</v>
      </c>
      <c r="B66" t="s">
        <v>2</v>
      </c>
      <c r="C66" t="s">
        <v>3</v>
      </c>
      <c r="D66" t="s">
        <v>4</v>
      </c>
    </row>
    <row r="67" spans="1:4">
      <c r="A67" t="s">
        <v>63</v>
      </c>
      <c r="B67" t="s">
        <v>36</v>
      </c>
      <c r="C67" t="s">
        <v>31</v>
      </c>
      <c r="D67" s="8">
        <v>5206</v>
      </c>
    </row>
    <row r="68" spans="1:4">
      <c r="A68" t="s">
        <v>64</v>
      </c>
      <c r="B68" t="s">
        <v>36</v>
      </c>
      <c r="C68" t="s">
        <v>65</v>
      </c>
      <c r="D68" s="8">
        <v>3209.26</v>
      </c>
    </row>
    <row r="69" spans="1:4">
      <c r="A69" t="s">
        <v>66</v>
      </c>
      <c r="B69" t="s">
        <v>36</v>
      </c>
      <c r="C69" t="s">
        <v>67</v>
      </c>
      <c r="D69" s="8">
        <v>2841.88</v>
      </c>
    </row>
    <row r="70" spans="1:4">
      <c r="A70" t="s">
        <v>68</v>
      </c>
      <c r="B70" t="s">
        <v>10</v>
      </c>
      <c r="C70" t="s">
        <v>67</v>
      </c>
      <c r="D70" s="8">
        <v>2731.14</v>
      </c>
    </row>
    <row r="71" spans="1:4">
      <c r="A71" t="s">
        <v>69</v>
      </c>
      <c r="B71" t="s">
        <v>10</v>
      </c>
      <c r="C71" t="s">
        <v>11</v>
      </c>
      <c r="D71" s="8">
        <v>1504.15</v>
      </c>
    </row>
    <row r="72" spans="1:4">
      <c r="A72" t="s">
        <v>70</v>
      </c>
      <c r="B72" t="s">
        <v>10</v>
      </c>
      <c r="C72" t="s">
        <v>16</v>
      </c>
      <c r="D72" s="8">
        <v>1047.8399999999999</v>
      </c>
    </row>
    <row r="73" spans="1:4">
      <c r="A73" t="s">
        <v>71</v>
      </c>
      <c r="B73" t="s">
        <v>10</v>
      </c>
      <c r="C73" t="s">
        <v>19</v>
      </c>
      <c r="D73">
        <v>773.4</v>
      </c>
    </row>
    <row r="74" spans="1:4">
      <c r="A74" t="s">
        <v>72</v>
      </c>
      <c r="B74" t="s">
        <v>10</v>
      </c>
      <c r="C74" t="s">
        <v>22</v>
      </c>
      <c r="D74">
        <v>429.19</v>
      </c>
    </row>
    <row r="75" spans="1:4">
      <c r="A75" t="s">
        <v>73</v>
      </c>
      <c r="B75" t="s">
        <v>10</v>
      </c>
      <c r="C75" t="s">
        <v>46</v>
      </c>
      <c r="D75">
        <v>285.99</v>
      </c>
    </row>
    <row r="76" spans="1:4">
      <c r="A76" t="s">
        <v>74</v>
      </c>
      <c r="B76" t="s">
        <v>10</v>
      </c>
      <c r="C76" t="s">
        <v>28</v>
      </c>
      <c r="D76">
        <v>76.2</v>
      </c>
    </row>
    <row r="78" spans="1:4">
      <c r="A78" t="s">
        <v>75</v>
      </c>
    </row>
    <row r="79" spans="1:4">
      <c r="A79" t="s">
        <v>162</v>
      </c>
    </row>
    <row r="80" spans="1:4">
      <c r="A80" t="s">
        <v>34</v>
      </c>
    </row>
    <row r="81" spans="1:4">
      <c r="A81" t="s">
        <v>1</v>
      </c>
      <c r="B81" t="s">
        <v>2</v>
      </c>
      <c r="C81" t="s">
        <v>76</v>
      </c>
      <c r="D81" t="s">
        <v>77</v>
      </c>
    </row>
    <row r="82" spans="1:4">
      <c r="A82" t="s">
        <v>78</v>
      </c>
      <c r="B82" t="s">
        <v>36</v>
      </c>
      <c r="C82" t="s">
        <v>11</v>
      </c>
      <c r="D82" t="s">
        <v>79</v>
      </c>
    </row>
    <row r="83" spans="1:4">
      <c r="A83" t="s">
        <v>80</v>
      </c>
      <c r="B83" t="s">
        <v>36</v>
      </c>
      <c r="C83" t="s">
        <v>11</v>
      </c>
      <c r="D83" s="8">
        <v>3199</v>
      </c>
    </row>
    <row r="84" spans="1:4">
      <c r="A84" t="s">
        <v>81</v>
      </c>
      <c r="B84" t="s">
        <v>36</v>
      </c>
      <c r="C84" t="s">
        <v>11</v>
      </c>
      <c r="D84" s="8">
        <v>3071</v>
      </c>
    </row>
    <row r="85" spans="1:4">
      <c r="A85" t="s">
        <v>82</v>
      </c>
      <c r="B85" t="s">
        <v>10</v>
      </c>
      <c r="C85" t="s">
        <v>11</v>
      </c>
      <c r="D85" t="s">
        <v>83</v>
      </c>
    </row>
    <row r="86" spans="1:4">
      <c r="A86" t="s">
        <v>84</v>
      </c>
      <c r="B86" t="s">
        <v>10</v>
      </c>
      <c r="C86" t="s">
        <v>16</v>
      </c>
      <c r="D86" t="s">
        <v>85</v>
      </c>
    </row>
    <row r="87" spans="1:4">
      <c r="A87" t="s">
        <v>86</v>
      </c>
      <c r="B87" t="s">
        <v>10</v>
      </c>
      <c r="C87" t="s">
        <v>19</v>
      </c>
      <c r="D87" t="s">
        <v>87</v>
      </c>
    </row>
    <row r="88" spans="1:4">
      <c r="A88" t="s">
        <v>88</v>
      </c>
      <c r="B88" t="s">
        <v>10</v>
      </c>
      <c r="C88" t="s">
        <v>22</v>
      </c>
      <c r="D88">
        <v>893</v>
      </c>
    </row>
    <row r="89" spans="1:4">
      <c r="A89" t="s">
        <v>89</v>
      </c>
      <c r="B89" t="s">
        <v>10</v>
      </c>
      <c r="C89" t="s">
        <v>46</v>
      </c>
      <c r="D89" t="s">
        <v>90</v>
      </c>
    </row>
    <row r="90" spans="1:4">
      <c r="A90" t="s">
        <v>91</v>
      </c>
      <c r="B90" t="s">
        <v>10</v>
      </c>
      <c r="C90" t="s">
        <v>28</v>
      </c>
      <c r="D90" t="s">
        <v>92</v>
      </c>
    </row>
    <row r="91" spans="1:4">
      <c r="A91" t="s">
        <v>93</v>
      </c>
      <c r="B91" t="s">
        <v>10</v>
      </c>
      <c r="C91" t="s">
        <v>31</v>
      </c>
      <c r="D91" t="s">
        <v>94</v>
      </c>
    </row>
    <row r="93" spans="1:4">
      <c r="A93" t="s">
        <v>95</v>
      </c>
    </row>
    <row r="94" spans="1:4">
      <c r="A94" t="s">
        <v>163</v>
      </c>
    </row>
    <row r="95" spans="1:4">
      <c r="A95" t="s">
        <v>96</v>
      </c>
    </row>
    <row r="96" spans="1:4">
      <c r="A96" t="s">
        <v>1</v>
      </c>
      <c r="B96" t="s">
        <v>2</v>
      </c>
      <c r="C96" t="s">
        <v>3</v>
      </c>
      <c r="D96" t="s">
        <v>4</v>
      </c>
    </row>
    <row r="97" spans="1:4">
      <c r="A97" t="s">
        <v>97</v>
      </c>
      <c r="B97" t="s">
        <v>36</v>
      </c>
      <c r="C97" t="s">
        <v>98</v>
      </c>
      <c r="D97" t="s">
        <v>99</v>
      </c>
    </row>
    <row r="98" spans="1:4">
      <c r="A98" t="s">
        <v>100</v>
      </c>
      <c r="B98" t="s">
        <v>36</v>
      </c>
      <c r="C98" t="s">
        <v>67</v>
      </c>
      <c r="D98" s="8" t="s">
        <v>101</v>
      </c>
    </row>
    <row r="99" spans="1:4">
      <c r="A99" t="s">
        <v>102</v>
      </c>
      <c r="B99" t="s">
        <v>10</v>
      </c>
      <c r="C99" t="s">
        <v>67</v>
      </c>
      <c r="D99" s="8" t="s">
        <v>103</v>
      </c>
    </row>
    <row r="100" spans="1:4">
      <c r="A100" t="s">
        <v>104</v>
      </c>
      <c r="B100" t="s">
        <v>10</v>
      </c>
      <c r="C100" t="s">
        <v>41</v>
      </c>
      <c r="D100" t="s">
        <v>105</v>
      </c>
    </row>
    <row r="101" spans="1:4">
      <c r="A101" t="s">
        <v>106</v>
      </c>
      <c r="B101" t="s">
        <v>10</v>
      </c>
      <c r="C101" t="s">
        <v>65</v>
      </c>
      <c r="D101" t="s">
        <v>107</v>
      </c>
    </row>
    <row r="102" spans="1:4">
      <c r="A102" t="s">
        <v>108</v>
      </c>
      <c r="B102" t="s">
        <v>10</v>
      </c>
      <c r="C102" t="s">
        <v>11</v>
      </c>
      <c r="D102" t="s">
        <v>109</v>
      </c>
    </row>
    <row r="103" spans="1:4">
      <c r="A103" t="s">
        <v>110</v>
      </c>
      <c r="B103" t="s">
        <v>10</v>
      </c>
      <c r="C103" t="s">
        <v>111</v>
      </c>
      <c r="D103" t="s">
        <v>112</v>
      </c>
    </row>
    <row r="104" spans="1:4">
      <c r="A104" t="s">
        <v>113</v>
      </c>
      <c r="B104" t="s">
        <v>10</v>
      </c>
      <c r="C104" t="s">
        <v>114</v>
      </c>
      <c r="D104" t="s">
        <v>115</v>
      </c>
    </row>
    <row r="105" spans="1:4">
      <c r="A105" t="s">
        <v>116</v>
      </c>
      <c r="B105" t="s">
        <v>10</v>
      </c>
      <c r="C105" t="s">
        <v>25</v>
      </c>
      <c r="D105" t="s">
        <v>117</v>
      </c>
    </row>
    <row r="106" spans="1:4">
      <c r="A106" t="s">
        <v>118</v>
      </c>
      <c r="B106" t="s">
        <v>10</v>
      </c>
      <c r="C106" t="s">
        <v>119</v>
      </c>
      <c r="D106" t="s">
        <v>120</v>
      </c>
    </row>
    <row r="108" spans="1:4">
      <c r="A108" t="s">
        <v>121</v>
      </c>
    </row>
    <row r="109" spans="1:4">
      <c r="A109" t="s">
        <v>164</v>
      </c>
    </row>
    <row r="110" spans="1:4">
      <c r="A110" t="s">
        <v>0</v>
      </c>
    </row>
    <row r="111" spans="1:4">
      <c r="A111" t="s">
        <v>1</v>
      </c>
      <c r="B111" t="s">
        <v>2</v>
      </c>
      <c r="C111" t="s">
        <v>3</v>
      </c>
      <c r="D111" t="s">
        <v>4</v>
      </c>
    </row>
    <row r="112" spans="1:4">
      <c r="A112" t="s">
        <v>122</v>
      </c>
      <c r="B112" t="s">
        <v>36</v>
      </c>
      <c r="C112" t="s">
        <v>119</v>
      </c>
      <c r="D112" t="s">
        <v>123</v>
      </c>
    </row>
    <row r="113" spans="1:4">
      <c r="A113" t="s">
        <v>124</v>
      </c>
      <c r="B113" t="s">
        <v>125</v>
      </c>
      <c r="C113" t="s">
        <v>119</v>
      </c>
      <c r="D113" t="s">
        <v>126</v>
      </c>
    </row>
    <row r="114" spans="1:4">
      <c r="A114" t="s">
        <v>127</v>
      </c>
      <c r="B114" t="s">
        <v>10</v>
      </c>
      <c r="C114" t="s">
        <v>98</v>
      </c>
      <c r="D114" t="s">
        <v>128</v>
      </c>
    </row>
    <row r="116" spans="1:4">
      <c r="A116" t="s">
        <v>129</v>
      </c>
    </row>
    <row r="117" spans="1:4">
      <c r="A117" t="s">
        <v>165</v>
      </c>
    </row>
    <row r="118" spans="1:4">
      <c r="A118" t="s">
        <v>166</v>
      </c>
    </row>
    <row r="119" spans="1:4">
      <c r="A119" t="s">
        <v>130</v>
      </c>
    </row>
    <row r="120" spans="1:4">
      <c r="A120" t="s">
        <v>1</v>
      </c>
      <c r="B120" t="s">
        <v>2</v>
      </c>
      <c r="C120" t="s">
        <v>76</v>
      </c>
      <c r="D120" t="s">
        <v>77</v>
      </c>
    </row>
    <row r="121" spans="1:4">
      <c r="A121" t="s">
        <v>131</v>
      </c>
      <c r="B121" t="s">
        <v>36</v>
      </c>
      <c r="C121" t="s">
        <v>132</v>
      </c>
      <c r="D121" t="s">
        <v>133</v>
      </c>
    </row>
    <row r="122" spans="1:4">
      <c r="A122" t="s">
        <v>134</v>
      </c>
      <c r="B122" t="s">
        <v>36</v>
      </c>
      <c r="C122" t="s">
        <v>132</v>
      </c>
      <c r="D122" t="s">
        <v>133</v>
      </c>
    </row>
    <row r="123" spans="1:4">
      <c r="A123" t="s">
        <v>135</v>
      </c>
      <c r="B123" t="s">
        <v>36</v>
      </c>
      <c r="C123" t="s">
        <v>132</v>
      </c>
      <c r="D123" t="s">
        <v>133</v>
      </c>
    </row>
    <row r="124" spans="1:4">
      <c r="A124" t="s">
        <v>136</v>
      </c>
      <c r="B124" t="s">
        <v>36</v>
      </c>
      <c r="C124" t="s">
        <v>132</v>
      </c>
      <c r="D124" t="s">
        <v>133</v>
      </c>
    </row>
    <row r="125" spans="1:4">
      <c r="A125" t="s">
        <v>137</v>
      </c>
      <c r="B125" t="s">
        <v>36</v>
      </c>
      <c r="C125" t="s">
        <v>132</v>
      </c>
      <c r="D125" t="s">
        <v>133</v>
      </c>
    </row>
    <row r="126" spans="1:4">
      <c r="A126" t="s">
        <v>138</v>
      </c>
      <c r="B126" t="s">
        <v>36</v>
      </c>
      <c r="C126" t="s">
        <v>132</v>
      </c>
      <c r="D126" t="s">
        <v>133</v>
      </c>
    </row>
    <row r="127" spans="1:4">
      <c r="A127" t="s">
        <v>139</v>
      </c>
      <c r="B127" t="s">
        <v>10</v>
      </c>
      <c r="C127" t="s">
        <v>140</v>
      </c>
      <c r="D127" t="s">
        <v>133</v>
      </c>
    </row>
    <row r="129" spans="1:4">
      <c r="A129" t="s">
        <v>141</v>
      </c>
    </row>
    <row r="130" spans="1:4">
      <c r="A130" t="s">
        <v>167</v>
      </c>
    </row>
    <row r="131" spans="1:4">
      <c r="A131" t="s">
        <v>130</v>
      </c>
    </row>
    <row r="132" spans="1:4">
      <c r="A132" t="s">
        <v>1</v>
      </c>
      <c r="B132" t="s">
        <v>2</v>
      </c>
      <c r="C132" t="s">
        <v>3</v>
      </c>
      <c r="D132" t="s">
        <v>4</v>
      </c>
    </row>
    <row r="133" spans="1:4">
      <c r="A133" t="s">
        <v>142</v>
      </c>
      <c r="B133" t="s">
        <v>36</v>
      </c>
      <c r="C133" t="s">
        <v>31</v>
      </c>
      <c r="D133" s="8">
        <v>1606</v>
      </c>
    </row>
    <row r="134" spans="1:4">
      <c r="A134" t="s">
        <v>143</v>
      </c>
      <c r="B134" t="s">
        <v>36</v>
      </c>
      <c r="C134" t="s">
        <v>28</v>
      </c>
      <c r="D134">
        <v>671.68</v>
      </c>
    </row>
    <row r="135" spans="1:4">
      <c r="A135" t="s">
        <v>144</v>
      </c>
      <c r="B135" t="s">
        <v>36</v>
      </c>
      <c r="C135" t="s">
        <v>46</v>
      </c>
      <c r="D135">
        <v>595.66</v>
      </c>
    </row>
    <row r="136" spans="1:4">
      <c r="A136" t="s">
        <v>145</v>
      </c>
      <c r="B136" t="s">
        <v>36</v>
      </c>
      <c r="C136" t="s">
        <v>65</v>
      </c>
      <c r="D136">
        <v>595.11</v>
      </c>
    </row>
    <row r="137" spans="1:4">
      <c r="A137" t="s">
        <v>146</v>
      </c>
      <c r="B137" t="s">
        <v>36</v>
      </c>
      <c r="C137" t="s">
        <v>41</v>
      </c>
      <c r="D137">
        <v>566.58000000000004</v>
      </c>
    </row>
    <row r="138" spans="1:4">
      <c r="A138" t="s">
        <v>147</v>
      </c>
      <c r="B138" t="s">
        <v>36</v>
      </c>
      <c r="C138" t="s">
        <v>148</v>
      </c>
      <c r="D138">
        <v>556.35</v>
      </c>
    </row>
    <row r="139" spans="1:4">
      <c r="A139" t="s">
        <v>149</v>
      </c>
      <c r="B139" t="s">
        <v>10</v>
      </c>
      <c r="C139" t="s">
        <v>148</v>
      </c>
      <c r="D139">
        <v>537.29</v>
      </c>
    </row>
    <row r="140" spans="1:4">
      <c r="A140" t="s">
        <v>150</v>
      </c>
      <c r="B140" t="s">
        <v>10</v>
      </c>
      <c r="C140" t="s">
        <v>11</v>
      </c>
      <c r="D140">
        <v>293.61</v>
      </c>
    </row>
    <row r="141" spans="1:4">
      <c r="A141" t="s">
        <v>151</v>
      </c>
      <c r="B141" t="s">
        <v>10</v>
      </c>
      <c r="C141" t="s">
        <v>152</v>
      </c>
      <c r="D141">
        <v>238.74</v>
      </c>
    </row>
    <row r="142" spans="1:4">
      <c r="A142" t="s">
        <v>153</v>
      </c>
      <c r="B142" t="s">
        <v>10</v>
      </c>
      <c r="C142" t="s">
        <v>22</v>
      </c>
      <c r="D142">
        <v>105.33</v>
      </c>
    </row>
    <row r="143" spans="1:4">
      <c r="A143" t="s">
        <v>154</v>
      </c>
      <c r="B143" t="s">
        <v>10</v>
      </c>
      <c r="C143" t="s">
        <v>46</v>
      </c>
      <c r="D143">
        <v>69.06</v>
      </c>
    </row>
  </sheetData>
  <hyperlinks>
    <hyperlink ref="B3" r:id="rId1" xr:uid="{0D4877A0-62AB-47FE-AD4E-58299AC87936}"/>
    <hyperlink ref="B2" r:id="rId2" xr:uid="{61B7DF5A-4ADF-4C1E-A10D-958CE0A6B407}"/>
    <hyperlink ref="B4" r:id="rId3" xr:uid="{17A739B6-E5BD-4C26-AF92-6138493E9154}"/>
    <hyperlink ref="B8" r:id="rId4" location="DLM57125" xr:uid="{29ED6FB7-B6C4-45B3-9A7B-B910343316EA}"/>
  </hyperlinks>
  <pageMargins left="0.7" right="0.7" top="0.75" bottom="0.75" header="0.3" footer="0.3"/>
  <pageSetup paperSize="9" orientation="portrait" horizontalDpi="0" verticalDpi="0"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E7AA2-6710-482C-A53C-B9692CF07229}">
  <dimension ref="A1:J849"/>
  <sheetViews>
    <sheetView topLeftCell="A691" workbookViewId="0">
      <selection activeCell="F694" sqref="F694:I704"/>
    </sheetView>
  </sheetViews>
  <sheetFormatPr defaultRowHeight="13.15"/>
  <cols>
    <col min="1" max="1" width="7.46484375" style="40" customWidth="1"/>
    <col min="2" max="2" width="23.86328125" style="40" customWidth="1"/>
    <col min="3" max="3" width="1.06640625" style="40" customWidth="1"/>
    <col min="4" max="4" width="9.73046875" style="40" customWidth="1"/>
    <col min="5" max="5" width="7.46484375" style="40" customWidth="1"/>
    <col min="6" max="6" width="16.19921875" style="40" customWidth="1"/>
    <col min="7" max="7" width="15.1328125" style="40" customWidth="1"/>
    <col min="8" max="8" width="17.3984375" style="40" customWidth="1"/>
    <col min="9" max="9" width="11.796875" style="40" customWidth="1"/>
    <col min="10" max="10" width="10.796875" style="40" customWidth="1"/>
    <col min="11" max="16384" width="9.06640625" style="40"/>
  </cols>
  <sheetData>
    <row r="1" spans="1:10" ht="99" customHeight="1">
      <c r="A1" s="74" t="s">
        <v>366</v>
      </c>
      <c r="B1" s="74"/>
      <c r="C1" s="74"/>
      <c r="D1" s="74"/>
      <c r="E1" s="74"/>
      <c r="F1" s="74"/>
      <c r="G1" s="74"/>
      <c r="H1" s="74"/>
      <c r="I1" s="74"/>
      <c r="J1" s="74"/>
    </row>
    <row r="2" spans="1:10" ht="111.4" customHeight="1">
      <c r="A2" s="76" t="s">
        <v>367</v>
      </c>
      <c r="B2" s="77"/>
      <c r="C2" s="77"/>
      <c r="D2" s="77"/>
      <c r="E2" s="77"/>
      <c r="F2" s="77"/>
      <c r="G2" s="77"/>
      <c r="H2" s="77"/>
      <c r="I2" s="77"/>
      <c r="J2" s="77"/>
    </row>
    <row r="3" spans="1:10" ht="11.25" customHeight="1">
      <c r="A3" s="78" t="s">
        <v>237</v>
      </c>
      <c r="B3" s="78"/>
      <c r="C3" s="78" t="s">
        <v>244</v>
      </c>
      <c r="D3" s="78"/>
      <c r="E3" s="54" t="s">
        <v>238</v>
      </c>
      <c r="F3" s="57" t="s">
        <v>236</v>
      </c>
      <c r="G3" s="56" t="s">
        <v>243</v>
      </c>
      <c r="H3" s="54" t="s">
        <v>242</v>
      </c>
      <c r="I3" s="54" t="s">
        <v>241</v>
      </c>
      <c r="J3" s="41"/>
    </row>
    <row r="4" spans="1:10" ht="11.25" customHeight="1">
      <c r="A4" s="75" t="s">
        <v>365</v>
      </c>
      <c r="B4" s="75"/>
      <c r="C4" s="75" t="s">
        <v>240</v>
      </c>
      <c r="D4" s="75"/>
      <c r="E4" s="50">
        <v>7</v>
      </c>
      <c r="F4" s="53">
        <v>34462</v>
      </c>
      <c r="G4" s="53">
        <v>6263</v>
      </c>
      <c r="H4" s="61">
        <v>32881</v>
      </c>
      <c r="I4" s="47">
        <v>1</v>
      </c>
      <c r="J4" s="41"/>
    </row>
    <row r="5" spans="1:10" ht="11.25" customHeight="1">
      <c r="A5" s="75" t="s">
        <v>364</v>
      </c>
      <c r="B5" s="75"/>
      <c r="C5" s="75" t="s">
        <v>239</v>
      </c>
      <c r="D5" s="75"/>
      <c r="E5" s="50">
        <v>7</v>
      </c>
      <c r="F5" s="53">
        <v>16711</v>
      </c>
      <c r="G5" s="53">
        <v>6263</v>
      </c>
      <c r="H5" s="61">
        <v>32881</v>
      </c>
      <c r="I5" s="47">
        <v>0</v>
      </c>
      <c r="J5" s="41"/>
    </row>
    <row r="6" spans="1:10" ht="11.25" customHeight="1">
      <c r="A6" s="75" t="s">
        <v>363</v>
      </c>
      <c r="B6" s="75"/>
      <c r="C6" s="75" t="s">
        <v>239</v>
      </c>
      <c r="D6" s="75"/>
      <c r="E6" s="50">
        <v>7</v>
      </c>
      <c r="F6" s="53">
        <v>14589</v>
      </c>
      <c r="G6" s="53">
        <v>6263</v>
      </c>
      <c r="H6" s="61">
        <v>32881</v>
      </c>
      <c r="I6" s="47">
        <v>0</v>
      </c>
      <c r="J6" s="41"/>
    </row>
    <row r="7" spans="1:10" ht="11.25" customHeight="1">
      <c r="A7" s="75" t="s">
        <v>340</v>
      </c>
      <c r="B7" s="75"/>
      <c r="C7" s="75" t="s">
        <v>239</v>
      </c>
      <c r="D7" s="75"/>
      <c r="E7" s="50">
        <v>6</v>
      </c>
      <c r="F7" s="53">
        <v>12670</v>
      </c>
      <c r="G7" s="53">
        <v>1339</v>
      </c>
      <c r="H7" s="61">
        <v>35343</v>
      </c>
      <c r="I7" s="47">
        <v>0</v>
      </c>
      <c r="J7" s="41"/>
    </row>
    <row r="8" spans="1:10" ht="11.25" customHeight="1">
      <c r="A8" s="75" t="s">
        <v>279</v>
      </c>
      <c r="B8" s="75"/>
      <c r="C8" s="75" t="s">
        <v>239</v>
      </c>
      <c r="D8" s="75"/>
      <c r="E8" s="50">
        <v>5</v>
      </c>
      <c r="F8" s="53">
        <v>2960</v>
      </c>
      <c r="G8" s="49">
        <v>758</v>
      </c>
      <c r="H8" s="61">
        <v>35634</v>
      </c>
      <c r="I8" s="47">
        <v>0</v>
      </c>
      <c r="J8" s="41"/>
    </row>
    <row r="9" spans="1:10" ht="11.25" customHeight="1">
      <c r="A9" s="75" t="s">
        <v>332</v>
      </c>
      <c r="B9" s="75"/>
      <c r="C9" s="75" t="s">
        <v>239</v>
      </c>
      <c r="D9" s="75"/>
      <c r="E9" s="50">
        <v>4</v>
      </c>
      <c r="F9" s="53">
        <v>2208</v>
      </c>
      <c r="G9" s="49">
        <v>436</v>
      </c>
      <c r="H9" s="61">
        <v>35795</v>
      </c>
      <c r="I9" s="47">
        <v>0</v>
      </c>
      <c r="J9" s="41"/>
    </row>
    <row r="10" spans="1:10" ht="11.25" customHeight="1">
      <c r="A10" s="75" t="s">
        <v>330</v>
      </c>
      <c r="B10" s="75"/>
      <c r="C10" s="75" t="s">
        <v>239</v>
      </c>
      <c r="D10" s="75"/>
      <c r="E10" s="50">
        <v>3</v>
      </c>
      <c r="F10" s="53">
        <v>1341</v>
      </c>
      <c r="G10" s="49">
        <v>180</v>
      </c>
      <c r="H10" s="61">
        <v>35923</v>
      </c>
      <c r="I10" s="47">
        <v>0</v>
      </c>
      <c r="J10" s="41"/>
    </row>
    <row r="11" spans="1:10" ht="11.25" customHeight="1">
      <c r="A11" s="75" t="s">
        <v>320</v>
      </c>
      <c r="B11" s="75"/>
      <c r="C11" s="75" t="s">
        <v>239</v>
      </c>
      <c r="D11" s="75"/>
      <c r="E11" s="50">
        <v>2</v>
      </c>
      <c r="F11" s="53">
        <v>1116</v>
      </c>
      <c r="G11" s="49">
        <v>52</v>
      </c>
      <c r="H11" s="61">
        <v>35987</v>
      </c>
      <c r="I11" s="47">
        <v>0</v>
      </c>
      <c r="J11" s="41"/>
    </row>
    <row r="12" spans="1:10" ht="11.25" customHeight="1">
      <c r="A12" s="75" t="s">
        <v>362</v>
      </c>
      <c r="B12" s="75"/>
      <c r="C12" s="75" t="s">
        <v>239</v>
      </c>
      <c r="D12" s="75"/>
      <c r="E12" s="50">
        <v>1</v>
      </c>
      <c r="F12" s="49">
        <v>385</v>
      </c>
      <c r="G12" s="49">
        <v>0</v>
      </c>
      <c r="H12" s="61">
        <v>36013</v>
      </c>
      <c r="I12" s="47">
        <v>0</v>
      </c>
      <c r="J12" s="41"/>
    </row>
    <row r="13" spans="1:10" ht="21" customHeight="1">
      <c r="A13" s="46" t="s">
        <v>238</v>
      </c>
      <c r="B13" s="45" t="s">
        <v>237</v>
      </c>
      <c r="C13" s="83" t="s">
        <v>236</v>
      </c>
      <c r="D13" s="83"/>
      <c r="E13" s="83"/>
      <c r="F13" s="83"/>
      <c r="G13" s="83"/>
      <c r="H13" s="83"/>
      <c r="I13" s="83"/>
      <c r="J13" s="44"/>
    </row>
    <row r="14" spans="1:10" ht="11.25" customHeight="1">
      <c r="A14" s="43">
        <v>1</v>
      </c>
      <c r="B14" s="42" t="s">
        <v>365</v>
      </c>
      <c r="C14" s="81">
        <v>30656</v>
      </c>
      <c r="D14" s="81"/>
      <c r="E14" s="81"/>
      <c r="F14" s="81"/>
      <c r="G14" s="81"/>
      <c r="H14" s="81"/>
      <c r="I14" s="81"/>
      <c r="J14" s="41"/>
    </row>
    <row r="15" spans="1:10" ht="11.25" customHeight="1">
      <c r="A15" s="43">
        <v>1</v>
      </c>
      <c r="B15" s="42" t="s">
        <v>363</v>
      </c>
      <c r="C15" s="81">
        <v>11935</v>
      </c>
      <c r="D15" s="81"/>
      <c r="E15" s="81"/>
      <c r="F15" s="81"/>
      <c r="G15" s="81"/>
      <c r="H15" s="81"/>
      <c r="I15" s="81"/>
      <c r="J15" s="41"/>
    </row>
    <row r="16" spans="1:10" ht="11.25" customHeight="1">
      <c r="A16" s="43">
        <v>1</v>
      </c>
      <c r="B16" s="42" t="s">
        <v>364</v>
      </c>
      <c r="C16" s="81">
        <v>11835</v>
      </c>
      <c r="D16" s="81"/>
      <c r="E16" s="81"/>
      <c r="F16" s="81"/>
      <c r="G16" s="81"/>
      <c r="H16" s="81"/>
      <c r="I16" s="81"/>
      <c r="J16" s="41"/>
    </row>
    <row r="17" spans="1:10" ht="11.25" customHeight="1">
      <c r="A17" s="43">
        <v>1</v>
      </c>
      <c r="B17" s="42" t="s">
        <v>340</v>
      </c>
      <c r="C17" s="81">
        <v>10383</v>
      </c>
      <c r="D17" s="81"/>
      <c r="E17" s="81"/>
      <c r="F17" s="81"/>
      <c r="G17" s="81"/>
      <c r="H17" s="81"/>
      <c r="I17" s="81"/>
      <c r="J17" s="41"/>
    </row>
    <row r="18" spans="1:10" ht="11.25" customHeight="1">
      <c r="A18" s="43">
        <v>1</v>
      </c>
      <c r="B18" s="42" t="s">
        <v>279</v>
      </c>
      <c r="C18" s="79">
        <v>2535</v>
      </c>
      <c r="D18" s="79"/>
      <c r="E18" s="79"/>
      <c r="F18" s="79"/>
      <c r="G18" s="79"/>
      <c r="H18" s="79"/>
      <c r="I18" s="79"/>
      <c r="J18" s="41"/>
    </row>
    <row r="19" spans="1:10" ht="11.25" customHeight="1">
      <c r="A19" s="43">
        <v>1</v>
      </c>
      <c r="B19" s="42" t="s">
        <v>332</v>
      </c>
      <c r="C19" s="79">
        <v>1971</v>
      </c>
      <c r="D19" s="79"/>
      <c r="E19" s="79"/>
      <c r="F19" s="79"/>
      <c r="G19" s="79"/>
      <c r="H19" s="79"/>
      <c r="I19" s="79"/>
      <c r="J19" s="41"/>
    </row>
    <row r="20" spans="1:10" ht="11.25" customHeight="1">
      <c r="A20" s="43">
        <v>1</v>
      </c>
      <c r="B20" s="42" t="s">
        <v>330</v>
      </c>
      <c r="C20" s="79">
        <v>1224</v>
      </c>
      <c r="D20" s="79"/>
      <c r="E20" s="79"/>
      <c r="F20" s="79"/>
      <c r="G20" s="79"/>
      <c r="H20" s="79"/>
      <c r="I20" s="79"/>
      <c r="J20" s="41"/>
    </row>
    <row r="21" spans="1:10" ht="11.25" customHeight="1">
      <c r="A21" s="43">
        <v>1</v>
      </c>
      <c r="B21" s="42" t="s">
        <v>320</v>
      </c>
      <c r="C21" s="79">
        <v>1101</v>
      </c>
      <c r="D21" s="79"/>
      <c r="E21" s="79"/>
      <c r="F21" s="79"/>
      <c r="G21" s="79"/>
      <c r="H21" s="79"/>
      <c r="I21" s="79"/>
      <c r="J21" s="41"/>
    </row>
    <row r="22" spans="1:10" ht="11.25" customHeight="1">
      <c r="A22" s="43">
        <v>1</v>
      </c>
      <c r="B22" s="42" t="s">
        <v>362</v>
      </c>
      <c r="C22" s="80">
        <v>385</v>
      </c>
      <c r="D22" s="80"/>
      <c r="E22" s="80"/>
      <c r="F22" s="80"/>
      <c r="G22" s="80"/>
      <c r="H22" s="80"/>
      <c r="I22" s="80"/>
      <c r="J22" s="41"/>
    </row>
    <row r="23" spans="1:10" ht="11.25" customHeight="1">
      <c r="A23" s="43">
        <v>2</v>
      </c>
      <c r="B23" s="42" t="s">
        <v>365</v>
      </c>
      <c r="C23" s="81">
        <v>30762</v>
      </c>
      <c r="D23" s="81"/>
      <c r="E23" s="81"/>
      <c r="F23" s="81"/>
      <c r="G23" s="81"/>
      <c r="H23" s="81"/>
      <c r="I23" s="81"/>
      <c r="J23" s="41"/>
    </row>
    <row r="24" spans="1:10" ht="11.25" customHeight="1">
      <c r="A24" s="43">
        <v>2</v>
      </c>
      <c r="B24" s="42" t="s">
        <v>363</v>
      </c>
      <c r="C24" s="81">
        <v>11974</v>
      </c>
      <c r="D24" s="81"/>
      <c r="E24" s="81"/>
      <c r="F24" s="81"/>
      <c r="G24" s="81"/>
      <c r="H24" s="81"/>
      <c r="I24" s="81"/>
      <c r="J24" s="41"/>
    </row>
    <row r="25" spans="1:10" ht="11.25" customHeight="1">
      <c r="A25" s="43">
        <v>2</v>
      </c>
      <c r="B25" s="42" t="s">
        <v>364</v>
      </c>
      <c r="C25" s="81">
        <v>11878</v>
      </c>
      <c r="D25" s="81"/>
      <c r="E25" s="81"/>
      <c r="F25" s="81"/>
      <c r="G25" s="81"/>
      <c r="H25" s="81"/>
      <c r="I25" s="81"/>
      <c r="J25" s="41"/>
    </row>
    <row r="26" spans="1:10" ht="11.25" customHeight="1">
      <c r="A26" s="43">
        <v>2</v>
      </c>
      <c r="B26" s="42" t="s">
        <v>340</v>
      </c>
      <c r="C26" s="81">
        <v>10436</v>
      </c>
      <c r="D26" s="81"/>
      <c r="E26" s="81"/>
      <c r="F26" s="81"/>
      <c r="G26" s="81"/>
      <c r="H26" s="81"/>
      <c r="I26" s="81"/>
      <c r="J26" s="41"/>
    </row>
    <row r="27" spans="1:10" ht="11.25" customHeight="1">
      <c r="A27" s="43">
        <v>2</v>
      </c>
      <c r="B27" s="42" t="s">
        <v>279</v>
      </c>
      <c r="C27" s="79">
        <v>2553</v>
      </c>
      <c r="D27" s="79"/>
      <c r="E27" s="79"/>
      <c r="F27" s="79"/>
      <c r="G27" s="79"/>
      <c r="H27" s="79"/>
      <c r="I27" s="79"/>
      <c r="J27" s="41"/>
    </row>
    <row r="28" spans="1:10" ht="11.25" customHeight="1">
      <c r="A28" s="43">
        <v>2</v>
      </c>
      <c r="B28" s="42" t="s">
        <v>332</v>
      </c>
      <c r="C28" s="79">
        <v>2001</v>
      </c>
      <c r="D28" s="79"/>
      <c r="E28" s="79"/>
      <c r="F28" s="79"/>
      <c r="G28" s="79"/>
      <c r="H28" s="79"/>
      <c r="I28" s="79"/>
      <c r="J28" s="41"/>
    </row>
    <row r="29" spans="1:10" ht="11.25" customHeight="1">
      <c r="A29" s="43">
        <v>2</v>
      </c>
      <c r="B29" s="42" t="s">
        <v>330</v>
      </c>
      <c r="C29" s="79">
        <v>1253</v>
      </c>
      <c r="D29" s="79"/>
      <c r="E29" s="79"/>
      <c r="F29" s="79"/>
      <c r="G29" s="79"/>
      <c r="H29" s="79"/>
      <c r="I29" s="79"/>
      <c r="J29" s="41"/>
    </row>
    <row r="30" spans="1:10" ht="11.25" customHeight="1">
      <c r="A30" s="43">
        <v>2</v>
      </c>
      <c r="B30" s="42" t="s">
        <v>320</v>
      </c>
      <c r="C30" s="79">
        <v>1116</v>
      </c>
      <c r="D30" s="79"/>
      <c r="E30" s="79"/>
      <c r="F30" s="79"/>
      <c r="G30" s="79"/>
      <c r="H30" s="79"/>
      <c r="I30" s="79"/>
      <c r="J30" s="41"/>
    </row>
    <row r="31" spans="1:10" ht="11.25" customHeight="1">
      <c r="A31" s="43">
        <v>2</v>
      </c>
      <c r="B31" s="42" t="s">
        <v>362</v>
      </c>
      <c r="C31" s="82">
        <v>0</v>
      </c>
      <c r="D31" s="82"/>
      <c r="E31" s="82"/>
      <c r="F31" s="82"/>
      <c r="G31" s="82"/>
      <c r="H31" s="82"/>
      <c r="I31" s="82"/>
      <c r="J31" s="41"/>
    </row>
    <row r="32" spans="1:10" ht="11.25" customHeight="1">
      <c r="A32" s="43">
        <v>3</v>
      </c>
      <c r="B32" s="42" t="s">
        <v>365</v>
      </c>
      <c r="C32" s="81">
        <v>31176</v>
      </c>
      <c r="D32" s="81"/>
      <c r="E32" s="81"/>
      <c r="F32" s="81"/>
      <c r="G32" s="81"/>
      <c r="H32" s="81"/>
      <c r="I32" s="81"/>
      <c r="J32" s="41"/>
    </row>
    <row r="33" spans="1:10" ht="11.25" customHeight="1">
      <c r="A33" s="43">
        <v>3</v>
      </c>
      <c r="B33" s="42" t="s">
        <v>363</v>
      </c>
      <c r="C33" s="81">
        <v>12097</v>
      </c>
      <c r="D33" s="81"/>
      <c r="E33" s="81"/>
      <c r="F33" s="81"/>
      <c r="G33" s="81"/>
      <c r="H33" s="81"/>
      <c r="I33" s="81"/>
      <c r="J33" s="41"/>
    </row>
    <row r="34" spans="1:10" ht="11.25" customHeight="1">
      <c r="A34" s="43">
        <v>3</v>
      </c>
      <c r="B34" s="42" t="s">
        <v>364</v>
      </c>
      <c r="C34" s="81">
        <v>11987</v>
      </c>
      <c r="D34" s="81"/>
      <c r="E34" s="81"/>
      <c r="F34" s="81"/>
      <c r="G34" s="81"/>
      <c r="H34" s="81"/>
      <c r="I34" s="81"/>
      <c r="J34" s="41"/>
    </row>
    <row r="35" spans="1:10" ht="11.25" customHeight="1">
      <c r="A35" s="43">
        <v>3</v>
      </c>
      <c r="B35" s="42" t="s">
        <v>340</v>
      </c>
      <c r="C35" s="81">
        <v>10524</v>
      </c>
      <c r="D35" s="81"/>
      <c r="E35" s="81"/>
      <c r="F35" s="81"/>
      <c r="G35" s="81"/>
      <c r="H35" s="81"/>
      <c r="I35" s="81"/>
      <c r="J35" s="41"/>
    </row>
    <row r="36" spans="1:10" ht="11.25" customHeight="1">
      <c r="A36" s="43">
        <v>3</v>
      </c>
      <c r="B36" s="42" t="s">
        <v>279</v>
      </c>
      <c r="C36" s="79">
        <v>2585</v>
      </c>
      <c r="D36" s="79"/>
      <c r="E36" s="79"/>
      <c r="F36" s="79"/>
      <c r="G36" s="79"/>
      <c r="H36" s="79"/>
      <c r="I36" s="79"/>
      <c r="J36" s="41"/>
    </row>
    <row r="37" spans="1:10" ht="11.25" customHeight="1">
      <c r="A37" s="43">
        <v>3</v>
      </c>
      <c r="B37" s="42" t="s">
        <v>332</v>
      </c>
      <c r="C37" s="79">
        <v>2135</v>
      </c>
      <c r="D37" s="79"/>
      <c r="E37" s="79"/>
      <c r="F37" s="79"/>
      <c r="G37" s="79"/>
      <c r="H37" s="79"/>
      <c r="I37" s="79"/>
      <c r="J37" s="41"/>
    </row>
    <row r="38" spans="1:10" ht="11.25" customHeight="1">
      <c r="A38" s="43">
        <v>3</v>
      </c>
      <c r="B38" s="42" t="s">
        <v>330</v>
      </c>
      <c r="C38" s="79">
        <v>1341</v>
      </c>
      <c r="D38" s="79"/>
      <c r="E38" s="79"/>
      <c r="F38" s="79"/>
      <c r="G38" s="79"/>
      <c r="H38" s="79"/>
      <c r="I38" s="79"/>
      <c r="J38" s="41"/>
    </row>
    <row r="39" spans="1:10" ht="11.25" customHeight="1">
      <c r="A39" s="43">
        <v>3</v>
      </c>
      <c r="B39" s="42" t="s">
        <v>320</v>
      </c>
      <c r="C39" s="82">
        <v>0</v>
      </c>
      <c r="D39" s="82"/>
      <c r="E39" s="82"/>
      <c r="F39" s="82"/>
      <c r="G39" s="82"/>
      <c r="H39" s="82"/>
      <c r="I39" s="82"/>
      <c r="J39" s="41"/>
    </row>
    <row r="40" spans="1:10" ht="11.25" customHeight="1">
      <c r="A40" s="43">
        <v>3</v>
      </c>
      <c r="B40" s="42" t="s">
        <v>362</v>
      </c>
      <c r="C40" s="82">
        <v>0</v>
      </c>
      <c r="D40" s="82"/>
      <c r="E40" s="82"/>
      <c r="F40" s="82"/>
      <c r="G40" s="82"/>
      <c r="H40" s="82"/>
      <c r="I40" s="82"/>
      <c r="J40" s="41"/>
    </row>
    <row r="41" spans="1:10" ht="11.25" customHeight="1">
      <c r="A41" s="43">
        <v>4</v>
      </c>
      <c r="B41" s="42" t="s">
        <v>365</v>
      </c>
      <c r="C41" s="81">
        <v>31330</v>
      </c>
      <c r="D41" s="81"/>
      <c r="E41" s="81"/>
      <c r="F41" s="81"/>
      <c r="G41" s="81"/>
      <c r="H41" s="81"/>
      <c r="I41" s="81"/>
      <c r="J41" s="41"/>
    </row>
    <row r="42" spans="1:10" ht="11.25" customHeight="1">
      <c r="A42" s="43">
        <v>4</v>
      </c>
      <c r="B42" s="42" t="s">
        <v>363</v>
      </c>
      <c r="C42" s="81">
        <v>12213</v>
      </c>
      <c r="D42" s="81"/>
      <c r="E42" s="81"/>
      <c r="F42" s="81"/>
      <c r="G42" s="81"/>
      <c r="H42" s="81"/>
      <c r="I42" s="81"/>
      <c r="J42" s="41"/>
    </row>
    <row r="43" spans="1:10" ht="11.25" customHeight="1">
      <c r="A43" s="43">
        <v>4</v>
      </c>
      <c r="B43" s="42" t="s">
        <v>364</v>
      </c>
      <c r="C43" s="81">
        <v>12105</v>
      </c>
      <c r="D43" s="81"/>
      <c r="E43" s="81"/>
      <c r="F43" s="81"/>
      <c r="G43" s="81"/>
      <c r="H43" s="81"/>
      <c r="I43" s="81"/>
      <c r="J43" s="41"/>
    </row>
    <row r="44" spans="1:10" ht="11.25" customHeight="1">
      <c r="A44" s="43">
        <v>4</v>
      </c>
      <c r="B44" s="42" t="s">
        <v>340</v>
      </c>
      <c r="C44" s="81">
        <v>10979</v>
      </c>
      <c r="D44" s="81"/>
      <c r="E44" s="81"/>
      <c r="F44" s="81"/>
      <c r="G44" s="81"/>
      <c r="H44" s="81"/>
      <c r="I44" s="81"/>
      <c r="J44" s="41"/>
    </row>
    <row r="45" spans="1:10" ht="11.25" customHeight="1">
      <c r="A45" s="43">
        <v>4</v>
      </c>
      <c r="B45" s="42" t="s">
        <v>279</v>
      </c>
      <c r="C45" s="79">
        <v>2754</v>
      </c>
      <c r="D45" s="79"/>
      <c r="E45" s="79"/>
      <c r="F45" s="79"/>
      <c r="G45" s="79"/>
      <c r="H45" s="79"/>
      <c r="I45" s="79"/>
      <c r="J45" s="41"/>
    </row>
    <row r="46" spans="1:10" ht="11.25" customHeight="1">
      <c r="A46" s="43">
        <v>4</v>
      </c>
      <c r="B46" s="42" t="s">
        <v>332</v>
      </c>
      <c r="C46" s="79">
        <v>2208</v>
      </c>
      <c r="D46" s="79"/>
      <c r="E46" s="79"/>
      <c r="F46" s="79"/>
      <c r="G46" s="79"/>
      <c r="H46" s="79"/>
      <c r="I46" s="79"/>
      <c r="J46" s="41"/>
    </row>
    <row r="47" spans="1:10" ht="11.25" customHeight="1">
      <c r="A47" s="43">
        <v>4</v>
      </c>
      <c r="B47" s="42" t="s">
        <v>320</v>
      </c>
      <c r="C47" s="82">
        <v>0</v>
      </c>
      <c r="D47" s="82"/>
      <c r="E47" s="82"/>
      <c r="F47" s="82"/>
      <c r="G47" s="82"/>
      <c r="H47" s="82"/>
      <c r="I47" s="82"/>
      <c r="J47" s="41"/>
    </row>
    <row r="48" spans="1:10" ht="11.25" customHeight="1">
      <c r="A48" s="43">
        <v>4</v>
      </c>
      <c r="B48" s="42" t="s">
        <v>362</v>
      </c>
      <c r="C48" s="82">
        <v>0</v>
      </c>
      <c r="D48" s="82"/>
      <c r="E48" s="82"/>
      <c r="F48" s="82"/>
      <c r="G48" s="82"/>
      <c r="H48" s="82"/>
      <c r="I48" s="82"/>
      <c r="J48" s="41"/>
    </row>
    <row r="49" spans="1:10" ht="11.25" customHeight="1">
      <c r="A49" s="43">
        <v>4</v>
      </c>
      <c r="B49" s="42" t="s">
        <v>330</v>
      </c>
      <c r="C49" s="82">
        <v>0</v>
      </c>
      <c r="D49" s="82"/>
      <c r="E49" s="82"/>
      <c r="F49" s="82"/>
      <c r="G49" s="82"/>
      <c r="H49" s="82"/>
      <c r="I49" s="82"/>
      <c r="J49" s="41"/>
    </row>
    <row r="50" spans="1:10" ht="11.25" customHeight="1">
      <c r="A50" s="43">
        <v>5</v>
      </c>
      <c r="B50" s="42" t="s">
        <v>365</v>
      </c>
      <c r="C50" s="81">
        <v>32027</v>
      </c>
      <c r="D50" s="81"/>
      <c r="E50" s="81"/>
      <c r="F50" s="81"/>
      <c r="G50" s="81"/>
      <c r="H50" s="81"/>
      <c r="I50" s="81"/>
      <c r="J50" s="41"/>
    </row>
    <row r="51" spans="1:10" ht="11.25" customHeight="1">
      <c r="A51" s="43">
        <v>5</v>
      </c>
      <c r="B51" s="42" t="s">
        <v>363</v>
      </c>
      <c r="C51" s="81">
        <v>12519</v>
      </c>
      <c r="D51" s="81"/>
      <c r="E51" s="81"/>
      <c r="F51" s="81"/>
      <c r="G51" s="81"/>
      <c r="H51" s="81"/>
      <c r="I51" s="81"/>
      <c r="J51" s="41"/>
    </row>
    <row r="52" spans="1:10" ht="11.25" customHeight="1">
      <c r="A52" s="43">
        <v>5</v>
      </c>
      <c r="B52" s="42" t="s">
        <v>364</v>
      </c>
      <c r="C52" s="81">
        <v>12476</v>
      </c>
      <c r="D52" s="81"/>
      <c r="E52" s="81"/>
      <c r="F52" s="81"/>
      <c r="G52" s="81"/>
      <c r="H52" s="81"/>
      <c r="I52" s="81"/>
      <c r="J52" s="41"/>
    </row>
    <row r="53" spans="1:10" ht="11.25" customHeight="1">
      <c r="A53" s="43">
        <v>5</v>
      </c>
      <c r="B53" s="42" t="s">
        <v>340</v>
      </c>
      <c r="C53" s="81">
        <v>11285</v>
      </c>
      <c r="D53" s="81"/>
      <c r="E53" s="81"/>
      <c r="F53" s="81"/>
      <c r="G53" s="81"/>
      <c r="H53" s="81"/>
      <c r="I53" s="81"/>
      <c r="J53" s="41"/>
    </row>
    <row r="54" spans="1:10" ht="11.25" customHeight="1">
      <c r="A54" s="43">
        <v>5</v>
      </c>
      <c r="B54" s="42" t="s">
        <v>279</v>
      </c>
      <c r="C54" s="79">
        <v>2960</v>
      </c>
      <c r="D54" s="79"/>
      <c r="E54" s="79"/>
      <c r="F54" s="79"/>
      <c r="G54" s="79"/>
      <c r="H54" s="79"/>
      <c r="I54" s="79"/>
      <c r="J54" s="41"/>
    </row>
    <row r="55" spans="1:10" ht="11.25" customHeight="1">
      <c r="A55" s="43">
        <v>5</v>
      </c>
      <c r="B55" s="42" t="s">
        <v>320</v>
      </c>
      <c r="C55" s="82">
        <v>0</v>
      </c>
      <c r="D55" s="82"/>
      <c r="E55" s="82"/>
      <c r="F55" s="82"/>
      <c r="G55" s="82"/>
      <c r="H55" s="82"/>
      <c r="I55" s="82"/>
      <c r="J55" s="41"/>
    </row>
    <row r="56" spans="1:10" ht="11.25" customHeight="1">
      <c r="A56" s="43">
        <v>5</v>
      </c>
      <c r="B56" s="42" t="s">
        <v>332</v>
      </c>
      <c r="C56" s="82">
        <v>0</v>
      </c>
      <c r="D56" s="82"/>
      <c r="E56" s="82"/>
      <c r="F56" s="82"/>
      <c r="G56" s="82"/>
      <c r="H56" s="82"/>
      <c r="I56" s="82"/>
      <c r="J56" s="41"/>
    </row>
    <row r="57" spans="1:10" ht="11.25" customHeight="1">
      <c r="A57" s="43">
        <v>5</v>
      </c>
      <c r="B57" s="42" t="s">
        <v>362</v>
      </c>
      <c r="C57" s="82">
        <v>0</v>
      </c>
      <c r="D57" s="82"/>
      <c r="E57" s="82"/>
      <c r="F57" s="82"/>
      <c r="G57" s="82"/>
      <c r="H57" s="82"/>
      <c r="I57" s="82"/>
      <c r="J57" s="41"/>
    </row>
    <row r="58" spans="1:10" ht="11.25" customHeight="1">
      <c r="A58" s="43">
        <v>5</v>
      </c>
      <c r="B58" s="42" t="s">
        <v>330</v>
      </c>
      <c r="C58" s="82">
        <v>0</v>
      </c>
      <c r="D58" s="82"/>
      <c r="E58" s="82"/>
      <c r="F58" s="82"/>
      <c r="G58" s="82"/>
      <c r="H58" s="82"/>
      <c r="I58" s="82"/>
      <c r="J58" s="41"/>
    </row>
    <row r="59" spans="1:10" ht="11.25" customHeight="1">
      <c r="A59" s="43">
        <v>6</v>
      </c>
      <c r="B59" s="42" t="s">
        <v>365</v>
      </c>
      <c r="C59" s="81">
        <v>32317</v>
      </c>
      <c r="D59" s="81"/>
      <c r="E59" s="81"/>
      <c r="F59" s="81"/>
      <c r="G59" s="81"/>
      <c r="H59" s="81"/>
      <c r="I59" s="81"/>
      <c r="J59" s="41"/>
    </row>
    <row r="60" spans="1:10" ht="11.25" customHeight="1">
      <c r="A60" s="43">
        <v>6</v>
      </c>
      <c r="B60" s="42" t="s">
        <v>364</v>
      </c>
      <c r="C60" s="81">
        <v>12916</v>
      </c>
      <c r="D60" s="81"/>
      <c r="E60" s="81"/>
      <c r="F60" s="81"/>
      <c r="G60" s="81"/>
      <c r="H60" s="81"/>
      <c r="I60" s="81"/>
      <c r="J60" s="41"/>
    </row>
    <row r="61" spans="1:10" ht="11.25" customHeight="1">
      <c r="A61" s="43">
        <v>6</v>
      </c>
      <c r="B61" s="42" t="s">
        <v>363</v>
      </c>
      <c r="C61" s="81">
        <v>12783</v>
      </c>
      <c r="D61" s="81"/>
      <c r="E61" s="81"/>
      <c r="F61" s="81"/>
      <c r="G61" s="81"/>
      <c r="H61" s="81"/>
      <c r="I61" s="81"/>
      <c r="J61" s="41"/>
    </row>
    <row r="62" spans="1:10" ht="11.25" customHeight="1">
      <c r="A62" s="43">
        <v>6</v>
      </c>
      <c r="B62" s="42" t="s">
        <v>340</v>
      </c>
      <c r="C62" s="81">
        <v>12670</v>
      </c>
      <c r="D62" s="81"/>
      <c r="E62" s="81"/>
      <c r="F62" s="81"/>
      <c r="G62" s="81"/>
      <c r="H62" s="81"/>
      <c r="I62" s="81"/>
      <c r="J62" s="41"/>
    </row>
    <row r="63" spans="1:10" ht="11.25" customHeight="1">
      <c r="A63" s="43">
        <v>6</v>
      </c>
      <c r="B63" s="42" t="s">
        <v>320</v>
      </c>
      <c r="C63" s="82">
        <v>0</v>
      </c>
      <c r="D63" s="82"/>
      <c r="E63" s="82"/>
      <c r="F63" s="82"/>
      <c r="G63" s="82"/>
      <c r="H63" s="82"/>
      <c r="I63" s="82"/>
      <c r="J63" s="41"/>
    </row>
    <row r="64" spans="1:10" ht="11.25" customHeight="1">
      <c r="A64" s="43">
        <v>6</v>
      </c>
      <c r="B64" s="42" t="s">
        <v>279</v>
      </c>
      <c r="C64" s="82">
        <v>0</v>
      </c>
      <c r="D64" s="82"/>
      <c r="E64" s="82"/>
      <c r="F64" s="82"/>
      <c r="G64" s="82"/>
      <c r="H64" s="82"/>
      <c r="I64" s="82"/>
      <c r="J64" s="41"/>
    </row>
    <row r="65" spans="1:10" ht="11.25" customHeight="1">
      <c r="A65" s="43">
        <v>6</v>
      </c>
      <c r="B65" s="42" t="s">
        <v>332</v>
      </c>
      <c r="C65" s="82">
        <v>0</v>
      </c>
      <c r="D65" s="82"/>
      <c r="E65" s="82"/>
      <c r="F65" s="82"/>
      <c r="G65" s="82"/>
      <c r="H65" s="82"/>
      <c r="I65" s="82"/>
      <c r="J65" s="41"/>
    </row>
    <row r="66" spans="1:10" ht="11.25" customHeight="1">
      <c r="A66" s="43">
        <v>6</v>
      </c>
      <c r="B66" s="42" t="s">
        <v>362</v>
      </c>
      <c r="C66" s="82">
        <v>0</v>
      </c>
      <c r="D66" s="82"/>
      <c r="E66" s="82"/>
      <c r="F66" s="82"/>
      <c r="G66" s="82"/>
      <c r="H66" s="82"/>
      <c r="I66" s="82"/>
      <c r="J66" s="41"/>
    </row>
    <row r="67" spans="1:10" ht="11.25" customHeight="1">
      <c r="A67" s="43">
        <v>6</v>
      </c>
      <c r="B67" s="42" t="s">
        <v>330</v>
      </c>
      <c r="C67" s="82">
        <v>0</v>
      </c>
      <c r="D67" s="82"/>
      <c r="E67" s="82"/>
      <c r="F67" s="82"/>
      <c r="G67" s="82"/>
      <c r="H67" s="82"/>
      <c r="I67" s="82"/>
      <c r="J67" s="41"/>
    </row>
    <row r="68" spans="1:10" ht="11.25" customHeight="1">
      <c r="A68" s="43">
        <v>7</v>
      </c>
      <c r="B68" s="42" t="s">
        <v>365</v>
      </c>
      <c r="C68" s="81">
        <v>34462</v>
      </c>
      <c r="D68" s="81"/>
      <c r="E68" s="81"/>
      <c r="F68" s="81"/>
      <c r="G68" s="81"/>
      <c r="H68" s="81"/>
      <c r="I68" s="81"/>
      <c r="J68" s="41"/>
    </row>
    <row r="69" spans="1:10" ht="11.25" customHeight="1">
      <c r="A69" s="43">
        <v>7</v>
      </c>
      <c r="B69" s="42" t="s">
        <v>364</v>
      </c>
      <c r="C69" s="81">
        <v>16711</v>
      </c>
      <c r="D69" s="81"/>
      <c r="E69" s="81"/>
      <c r="F69" s="81"/>
      <c r="G69" s="81"/>
      <c r="H69" s="81"/>
      <c r="I69" s="81"/>
      <c r="J69" s="41"/>
    </row>
    <row r="70" spans="1:10" ht="11.25" customHeight="1">
      <c r="A70" s="43">
        <v>7</v>
      </c>
      <c r="B70" s="42" t="s">
        <v>363</v>
      </c>
      <c r="C70" s="81">
        <v>14589</v>
      </c>
      <c r="D70" s="81"/>
      <c r="E70" s="81"/>
      <c r="F70" s="81"/>
      <c r="G70" s="81"/>
      <c r="H70" s="81"/>
      <c r="I70" s="81"/>
      <c r="J70" s="41"/>
    </row>
    <row r="71" spans="1:10" ht="11.25" customHeight="1">
      <c r="A71" s="43">
        <v>7</v>
      </c>
      <c r="B71" s="42" t="s">
        <v>320</v>
      </c>
      <c r="C71" s="82">
        <v>0</v>
      </c>
      <c r="D71" s="82"/>
      <c r="E71" s="82"/>
      <c r="F71" s="82"/>
      <c r="G71" s="82"/>
      <c r="H71" s="82"/>
      <c r="I71" s="82"/>
      <c r="J71" s="41"/>
    </row>
    <row r="72" spans="1:10" ht="11.25" customHeight="1">
      <c r="A72" s="43">
        <v>7</v>
      </c>
      <c r="B72" s="42" t="s">
        <v>340</v>
      </c>
      <c r="C72" s="82">
        <v>0</v>
      </c>
      <c r="D72" s="82"/>
      <c r="E72" s="82"/>
      <c r="F72" s="82"/>
      <c r="G72" s="82"/>
      <c r="H72" s="82"/>
      <c r="I72" s="82"/>
      <c r="J72" s="41"/>
    </row>
    <row r="73" spans="1:10" ht="11.25" customHeight="1">
      <c r="A73" s="43">
        <v>7</v>
      </c>
      <c r="B73" s="42" t="s">
        <v>279</v>
      </c>
      <c r="C73" s="82">
        <v>0</v>
      </c>
      <c r="D73" s="82"/>
      <c r="E73" s="82"/>
      <c r="F73" s="82"/>
      <c r="G73" s="82"/>
      <c r="H73" s="82"/>
      <c r="I73" s="82"/>
      <c r="J73" s="41"/>
    </row>
    <row r="74" spans="1:10" ht="11.25" customHeight="1">
      <c r="A74" s="43">
        <v>7</v>
      </c>
      <c r="B74" s="42" t="s">
        <v>332</v>
      </c>
      <c r="C74" s="82">
        <v>0</v>
      </c>
      <c r="D74" s="82"/>
      <c r="E74" s="82"/>
      <c r="F74" s="82"/>
      <c r="G74" s="82"/>
      <c r="H74" s="82"/>
      <c r="I74" s="82"/>
      <c r="J74" s="41"/>
    </row>
    <row r="75" spans="1:10" ht="11.25" customHeight="1">
      <c r="A75" s="43">
        <v>7</v>
      </c>
      <c r="B75" s="42" t="s">
        <v>362</v>
      </c>
      <c r="C75" s="82">
        <v>0</v>
      </c>
      <c r="D75" s="82"/>
      <c r="E75" s="82"/>
      <c r="F75" s="82"/>
      <c r="G75" s="82"/>
      <c r="H75" s="82"/>
      <c r="I75" s="82"/>
      <c r="J75" s="41"/>
    </row>
    <row r="76" spans="1:10" ht="18.5" customHeight="1">
      <c r="A76" s="43">
        <v>7</v>
      </c>
      <c r="B76" s="42" t="s">
        <v>330</v>
      </c>
      <c r="C76" s="82">
        <v>0</v>
      </c>
      <c r="D76" s="82"/>
      <c r="E76" s="82"/>
      <c r="F76" s="82"/>
      <c r="G76" s="82"/>
      <c r="H76" s="82"/>
      <c r="I76" s="82"/>
      <c r="J76" s="44"/>
    </row>
    <row r="77" spans="1:10" ht="23" customHeight="1">
      <c r="A77" s="84" t="s">
        <v>224</v>
      </c>
      <c r="B77" s="84"/>
      <c r="C77" s="84"/>
      <c r="D77" s="84"/>
      <c r="E77" s="84"/>
      <c r="F77" s="84"/>
      <c r="G77" s="84"/>
      <c r="H77" s="84"/>
      <c r="I77" s="84"/>
      <c r="J77" s="84"/>
    </row>
    <row r="78" spans="1:10" ht="23" customHeight="1">
      <c r="A78" s="76" t="s">
        <v>361</v>
      </c>
      <c r="B78" s="76"/>
      <c r="C78" s="76"/>
      <c r="D78" s="76"/>
      <c r="E78" s="76"/>
      <c r="F78" s="76"/>
      <c r="G78" s="76"/>
      <c r="H78" s="76"/>
      <c r="I78" s="76"/>
      <c r="J78" s="76"/>
    </row>
    <row r="79" spans="1:10" ht="23" customHeight="1">
      <c r="A79" s="76" t="s">
        <v>360</v>
      </c>
      <c r="B79" s="76"/>
      <c r="C79" s="76"/>
      <c r="D79" s="76"/>
      <c r="E79" s="76"/>
      <c r="F79" s="76"/>
      <c r="G79" s="76"/>
      <c r="H79" s="76"/>
      <c r="I79" s="76"/>
      <c r="J79" s="76"/>
    </row>
    <row r="80" spans="1:10" ht="23" customHeight="1">
      <c r="A80" s="76" t="s">
        <v>359</v>
      </c>
      <c r="B80" s="76"/>
      <c r="C80" s="76"/>
      <c r="D80" s="76"/>
      <c r="E80" s="76"/>
      <c r="F80" s="76"/>
      <c r="G80" s="76"/>
      <c r="H80" s="76"/>
      <c r="I80" s="76"/>
      <c r="J80" s="76"/>
    </row>
    <row r="81" spans="1:10" ht="23" customHeight="1">
      <c r="A81" s="76" t="s">
        <v>358</v>
      </c>
      <c r="B81" s="76"/>
      <c r="C81" s="76"/>
      <c r="D81" s="76"/>
      <c r="E81" s="76"/>
      <c r="F81" s="76"/>
      <c r="G81" s="76"/>
      <c r="H81" s="76"/>
      <c r="I81" s="76"/>
      <c r="J81" s="76"/>
    </row>
    <row r="82" spans="1:10" ht="23" customHeight="1">
      <c r="A82" s="76" t="s">
        <v>357</v>
      </c>
      <c r="B82" s="76"/>
      <c r="C82" s="76"/>
      <c r="D82" s="76"/>
      <c r="E82" s="76"/>
      <c r="F82" s="76"/>
      <c r="G82" s="76"/>
      <c r="H82" s="76"/>
      <c r="I82" s="76"/>
      <c r="J82" s="76"/>
    </row>
    <row r="83" spans="1:10" ht="23" customHeight="1">
      <c r="A83" s="76" t="s">
        <v>356</v>
      </c>
      <c r="B83" s="76"/>
      <c r="C83" s="76"/>
      <c r="D83" s="76"/>
      <c r="E83" s="76"/>
      <c r="F83" s="76"/>
      <c r="G83" s="76"/>
      <c r="H83" s="76"/>
      <c r="I83" s="76"/>
      <c r="J83" s="76"/>
    </row>
    <row r="84" spans="1:10" ht="23" customHeight="1">
      <c r="A84" s="76" t="s">
        <v>355</v>
      </c>
      <c r="B84" s="76"/>
      <c r="C84" s="76"/>
      <c r="D84" s="76"/>
      <c r="E84" s="76"/>
      <c r="F84" s="76"/>
      <c r="G84" s="76"/>
      <c r="H84" s="76"/>
      <c r="I84" s="76"/>
      <c r="J84" s="76"/>
    </row>
    <row r="85" spans="1:10" ht="23" customHeight="1">
      <c r="A85" s="76" t="s">
        <v>354</v>
      </c>
      <c r="B85" s="76"/>
      <c r="C85" s="76"/>
      <c r="D85" s="76"/>
      <c r="E85" s="76"/>
      <c r="F85" s="76"/>
      <c r="G85" s="76"/>
      <c r="H85" s="76"/>
      <c r="I85" s="76"/>
      <c r="J85" s="76"/>
    </row>
    <row r="86" spans="1:10" ht="35" customHeight="1">
      <c r="A86" s="76" t="s">
        <v>353</v>
      </c>
      <c r="B86" s="76"/>
      <c r="C86" s="76"/>
      <c r="D86" s="76"/>
      <c r="E86" s="76"/>
      <c r="F86" s="76"/>
      <c r="G86" s="76"/>
      <c r="H86" s="76"/>
      <c r="I86" s="76"/>
      <c r="J86" s="76"/>
    </row>
    <row r="87" spans="1:10" ht="56.55" customHeight="1">
      <c r="A87" s="76" t="s">
        <v>370</v>
      </c>
      <c r="B87" s="77"/>
      <c r="C87" s="77"/>
      <c r="D87" s="77"/>
      <c r="E87" s="77"/>
      <c r="F87" s="77"/>
      <c r="G87" s="77"/>
      <c r="H87" s="77"/>
      <c r="I87" s="77"/>
      <c r="J87" s="77"/>
    </row>
    <row r="88" spans="1:10" ht="11.25" customHeight="1">
      <c r="A88" s="78" t="s">
        <v>237</v>
      </c>
      <c r="B88" s="78"/>
      <c r="C88" s="78" t="s">
        <v>244</v>
      </c>
      <c r="D88" s="78"/>
      <c r="E88" s="54" t="s">
        <v>238</v>
      </c>
      <c r="F88" s="57" t="s">
        <v>236</v>
      </c>
      <c r="G88" s="56" t="s">
        <v>243</v>
      </c>
      <c r="H88" s="55" t="s">
        <v>242</v>
      </c>
      <c r="I88" s="54" t="s">
        <v>241</v>
      </c>
      <c r="J88" s="41"/>
    </row>
    <row r="89" spans="1:10" ht="11.25" customHeight="1">
      <c r="A89" s="75" t="s">
        <v>351</v>
      </c>
      <c r="B89" s="75"/>
      <c r="C89" s="75" t="s">
        <v>240</v>
      </c>
      <c r="D89" s="75"/>
      <c r="E89" s="50">
        <v>7</v>
      </c>
      <c r="F89" s="53">
        <v>3421</v>
      </c>
      <c r="G89" s="53">
        <v>1087</v>
      </c>
      <c r="H89" s="60">
        <v>3122.750000001</v>
      </c>
      <c r="I89" s="47">
        <v>0.88889495600000001</v>
      </c>
      <c r="J89" s="41"/>
    </row>
    <row r="90" spans="1:10" ht="11.25" customHeight="1">
      <c r="A90" s="75" t="s">
        <v>352</v>
      </c>
      <c r="B90" s="75"/>
      <c r="C90" s="75" t="s">
        <v>240</v>
      </c>
      <c r="D90" s="75"/>
      <c r="E90" s="50">
        <v>7</v>
      </c>
      <c r="F90" s="53">
        <v>3381</v>
      </c>
      <c r="G90" s="53">
        <v>1087</v>
      </c>
      <c r="H90" s="60">
        <v>3122.750000001</v>
      </c>
      <c r="I90" s="47">
        <v>0.89541821700000002</v>
      </c>
      <c r="J90" s="41"/>
    </row>
    <row r="91" spans="1:10" ht="11.25" customHeight="1">
      <c r="A91" s="75" t="s">
        <v>258</v>
      </c>
      <c r="B91" s="75"/>
      <c r="C91" s="75" t="s">
        <v>240</v>
      </c>
      <c r="D91" s="75"/>
      <c r="E91" s="50">
        <v>9</v>
      </c>
      <c r="F91" s="53">
        <v>3088.2945055219998</v>
      </c>
      <c r="G91" s="53">
        <v>1319.307200918</v>
      </c>
      <c r="H91" s="60">
        <v>3064.6731997709999</v>
      </c>
      <c r="I91" s="47">
        <v>1</v>
      </c>
      <c r="J91" s="41"/>
    </row>
    <row r="92" spans="1:10" ht="11.25" customHeight="1">
      <c r="A92" s="75" t="s">
        <v>350</v>
      </c>
      <c r="B92" s="75"/>
      <c r="C92" s="75" t="s">
        <v>239</v>
      </c>
      <c r="D92" s="75"/>
      <c r="E92" s="50">
        <v>9</v>
      </c>
      <c r="F92" s="53">
        <v>2984.3603967469999</v>
      </c>
      <c r="G92" s="53">
        <v>1319.307200918</v>
      </c>
      <c r="H92" s="60">
        <v>3064.6731997709999</v>
      </c>
      <c r="I92" s="47">
        <v>0</v>
      </c>
      <c r="J92" s="41"/>
    </row>
    <row r="93" spans="1:10" ht="11.25" customHeight="1">
      <c r="A93" s="75" t="s">
        <v>346</v>
      </c>
      <c r="B93" s="75"/>
      <c r="C93" s="75" t="s">
        <v>239</v>
      </c>
      <c r="D93" s="75"/>
      <c r="E93" s="50">
        <v>6</v>
      </c>
      <c r="F93" s="53">
        <v>2060</v>
      </c>
      <c r="G93" s="49">
        <v>526</v>
      </c>
      <c r="H93" s="60">
        <v>3263.000000001</v>
      </c>
      <c r="I93" s="47">
        <v>0</v>
      </c>
      <c r="J93" s="41"/>
    </row>
    <row r="94" spans="1:10" ht="11.25" customHeight="1">
      <c r="A94" s="75" t="s">
        <v>348</v>
      </c>
      <c r="B94" s="75"/>
      <c r="C94" s="75" t="s">
        <v>239</v>
      </c>
      <c r="D94" s="75"/>
      <c r="E94" s="50">
        <v>5</v>
      </c>
      <c r="F94" s="53">
        <v>1501</v>
      </c>
      <c r="G94" s="49">
        <v>325</v>
      </c>
      <c r="H94" s="60">
        <v>3313.250000001</v>
      </c>
      <c r="I94" s="47">
        <v>0</v>
      </c>
      <c r="J94" s="41"/>
    </row>
    <row r="95" spans="1:10" ht="11.25" customHeight="1">
      <c r="A95" s="75" t="s">
        <v>347</v>
      </c>
      <c r="B95" s="75"/>
      <c r="C95" s="75" t="s">
        <v>239</v>
      </c>
      <c r="D95" s="75"/>
      <c r="E95" s="50">
        <v>4</v>
      </c>
      <c r="F95" s="53">
        <v>1211</v>
      </c>
      <c r="G95" s="49">
        <v>137</v>
      </c>
      <c r="H95" s="60">
        <v>3360.250000001</v>
      </c>
      <c r="I95" s="47">
        <v>0</v>
      </c>
      <c r="J95" s="41"/>
    </row>
    <row r="96" spans="1:10" ht="11.25" customHeight="1">
      <c r="A96" s="75" t="s">
        <v>349</v>
      </c>
      <c r="B96" s="75"/>
      <c r="C96" s="75" t="s">
        <v>239</v>
      </c>
      <c r="D96" s="75"/>
      <c r="E96" s="50">
        <v>3</v>
      </c>
      <c r="F96" s="49">
        <v>667</v>
      </c>
      <c r="G96" s="49">
        <v>47</v>
      </c>
      <c r="H96" s="60">
        <v>3382.750000001</v>
      </c>
      <c r="I96" s="47">
        <v>0</v>
      </c>
      <c r="J96" s="41"/>
    </row>
    <row r="97" spans="1:10" ht="11.25" customHeight="1">
      <c r="A97" s="75" t="s">
        <v>345</v>
      </c>
      <c r="B97" s="75"/>
      <c r="C97" s="75" t="s">
        <v>239</v>
      </c>
      <c r="D97" s="75"/>
      <c r="E97" s="50">
        <v>2</v>
      </c>
      <c r="F97" s="49">
        <v>199</v>
      </c>
      <c r="G97" s="49">
        <v>26</v>
      </c>
      <c r="H97" s="60">
        <v>3388.000000001</v>
      </c>
      <c r="I97" s="47">
        <v>0</v>
      </c>
      <c r="J97" s="41"/>
    </row>
    <row r="98" spans="1:10" ht="11.25" customHeight="1">
      <c r="A98" s="75" t="s">
        <v>227</v>
      </c>
      <c r="B98" s="75"/>
      <c r="C98" s="75" t="s">
        <v>239</v>
      </c>
      <c r="D98" s="75"/>
      <c r="E98" s="50">
        <v>1</v>
      </c>
      <c r="F98" s="49">
        <v>150</v>
      </c>
      <c r="G98" s="49">
        <v>0</v>
      </c>
      <c r="H98" s="60">
        <v>3394.500000001</v>
      </c>
      <c r="I98" s="47">
        <v>0</v>
      </c>
      <c r="J98" s="41"/>
    </row>
    <row r="99" spans="1:10" ht="21" customHeight="1">
      <c r="A99" s="46" t="s">
        <v>238</v>
      </c>
      <c r="B99" s="45" t="s">
        <v>237</v>
      </c>
      <c r="C99" s="83" t="s">
        <v>236</v>
      </c>
      <c r="D99" s="83"/>
      <c r="E99" s="83"/>
      <c r="F99" s="83"/>
      <c r="G99" s="83"/>
      <c r="H99" s="83"/>
      <c r="I99" s="83"/>
      <c r="J99" s="44"/>
    </row>
    <row r="100" spans="1:10" ht="11.25" customHeight="1">
      <c r="A100" s="43">
        <v>1</v>
      </c>
      <c r="B100" s="42" t="s">
        <v>351</v>
      </c>
      <c r="C100" s="79">
        <v>2390</v>
      </c>
      <c r="D100" s="79"/>
      <c r="E100" s="79"/>
      <c r="F100" s="79"/>
      <c r="G100" s="79"/>
      <c r="H100" s="79"/>
      <c r="I100" s="79"/>
      <c r="J100" s="41"/>
    </row>
    <row r="101" spans="1:10" ht="11.25" customHeight="1">
      <c r="A101" s="43">
        <v>1</v>
      </c>
      <c r="B101" s="42" t="s">
        <v>352</v>
      </c>
      <c r="C101" s="79">
        <v>2262</v>
      </c>
      <c r="D101" s="79"/>
      <c r="E101" s="79"/>
      <c r="F101" s="79"/>
      <c r="G101" s="79"/>
      <c r="H101" s="79"/>
      <c r="I101" s="79"/>
      <c r="J101" s="41"/>
    </row>
    <row r="102" spans="1:10" ht="11.25" customHeight="1">
      <c r="A102" s="43">
        <v>1</v>
      </c>
      <c r="B102" s="42" t="s">
        <v>258</v>
      </c>
      <c r="C102" s="79">
        <v>2006</v>
      </c>
      <c r="D102" s="79"/>
      <c r="E102" s="79"/>
      <c r="F102" s="79"/>
      <c r="G102" s="79"/>
      <c r="H102" s="79"/>
      <c r="I102" s="79"/>
      <c r="J102" s="41"/>
    </row>
    <row r="103" spans="1:10" ht="11.25" customHeight="1">
      <c r="A103" s="43">
        <v>1</v>
      </c>
      <c r="B103" s="42" t="s">
        <v>350</v>
      </c>
      <c r="C103" s="79">
        <v>1935</v>
      </c>
      <c r="D103" s="79"/>
      <c r="E103" s="79"/>
      <c r="F103" s="79"/>
      <c r="G103" s="79"/>
      <c r="H103" s="79"/>
      <c r="I103" s="79"/>
      <c r="J103" s="41"/>
    </row>
    <row r="104" spans="1:10" ht="11.25" customHeight="1">
      <c r="A104" s="43">
        <v>1</v>
      </c>
      <c r="B104" s="42" t="s">
        <v>346</v>
      </c>
      <c r="C104" s="79">
        <v>1586</v>
      </c>
      <c r="D104" s="79"/>
      <c r="E104" s="79"/>
      <c r="F104" s="79"/>
      <c r="G104" s="79"/>
      <c r="H104" s="79"/>
      <c r="I104" s="79"/>
      <c r="J104" s="41"/>
    </row>
    <row r="105" spans="1:10" ht="11.25" customHeight="1">
      <c r="A105" s="43">
        <v>1</v>
      </c>
      <c r="B105" s="42" t="s">
        <v>348</v>
      </c>
      <c r="C105" s="79">
        <v>1366</v>
      </c>
      <c r="D105" s="79"/>
      <c r="E105" s="79"/>
      <c r="F105" s="79"/>
      <c r="G105" s="79"/>
      <c r="H105" s="79"/>
      <c r="I105" s="79"/>
      <c r="J105" s="41"/>
    </row>
    <row r="106" spans="1:10" ht="11.25" customHeight="1">
      <c r="A106" s="43">
        <v>1</v>
      </c>
      <c r="B106" s="42" t="s">
        <v>347</v>
      </c>
      <c r="C106" s="79">
        <v>1043</v>
      </c>
      <c r="D106" s="79"/>
      <c r="E106" s="79"/>
      <c r="F106" s="79"/>
      <c r="G106" s="79"/>
      <c r="H106" s="79"/>
      <c r="I106" s="79"/>
      <c r="J106" s="41"/>
    </row>
    <row r="107" spans="1:10" ht="11.25" customHeight="1">
      <c r="A107" s="43">
        <v>1</v>
      </c>
      <c r="B107" s="42" t="s">
        <v>349</v>
      </c>
      <c r="C107" s="80">
        <v>652</v>
      </c>
      <c r="D107" s="80"/>
      <c r="E107" s="80"/>
      <c r="F107" s="80"/>
      <c r="G107" s="80"/>
      <c r="H107" s="80"/>
      <c r="I107" s="80"/>
      <c r="J107" s="41"/>
    </row>
    <row r="108" spans="1:10" ht="11.25" customHeight="1">
      <c r="A108" s="43">
        <v>1</v>
      </c>
      <c r="B108" s="42" t="s">
        <v>345</v>
      </c>
      <c r="C108" s="80">
        <v>188</v>
      </c>
      <c r="D108" s="80"/>
      <c r="E108" s="80"/>
      <c r="F108" s="80"/>
      <c r="G108" s="80"/>
      <c r="H108" s="80"/>
      <c r="I108" s="80"/>
      <c r="J108" s="41"/>
    </row>
    <row r="109" spans="1:10" ht="11.25" customHeight="1">
      <c r="A109" s="43">
        <v>1</v>
      </c>
      <c r="B109" s="42" t="s">
        <v>227</v>
      </c>
      <c r="C109" s="80">
        <v>150</v>
      </c>
      <c r="D109" s="80"/>
      <c r="E109" s="80"/>
      <c r="F109" s="80"/>
      <c r="G109" s="80"/>
      <c r="H109" s="80"/>
      <c r="I109" s="80"/>
      <c r="J109" s="41"/>
    </row>
    <row r="110" spans="1:10" ht="11.25" customHeight="1">
      <c r="A110" s="43">
        <v>2</v>
      </c>
      <c r="B110" s="42" t="s">
        <v>351</v>
      </c>
      <c r="C110" s="79">
        <v>2401</v>
      </c>
      <c r="D110" s="79"/>
      <c r="E110" s="79"/>
      <c r="F110" s="79"/>
      <c r="G110" s="79"/>
      <c r="H110" s="79"/>
      <c r="I110" s="79"/>
      <c r="J110" s="41"/>
    </row>
    <row r="111" spans="1:10" ht="11.25" customHeight="1">
      <c r="A111" s="43">
        <v>2</v>
      </c>
      <c r="B111" s="42" t="s">
        <v>352</v>
      </c>
      <c r="C111" s="79">
        <v>2277</v>
      </c>
      <c r="D111" s="79"/>
      <c r="E111" s="79"/>
      <c r="F111" s="79"/>
      <c r="G111" s="79"/>
      <c r="H111" s="79"/>
      <c r="I111" s="79"/>
      <c r="J111" s="41"/>
    </row>
    <row r="112" spans="1:10" ht="11.25" customHeight="1">
      <c r="A112" s="43">
        <v>2</v>
      </c>
      <c r="B112" s="42" t="s">
        <v>258</v>
      </c>
      <c r="C112" s="79">
        <v>2027</v>
      </c>
      <c r="D112" s="79"/>
      <c r="E112" s="79"/>
      <c r="F112" s="79"/>
      <c r="G112" s="79"/>
      <c r="H112" s="79"/>
      <c r="I112" s="79"/>
      <c r="J112" s="41"/>
    </row>
    <row r="113" spans="1:10" ht="11.25" customHeight="1">
      <c r="A113" s="43">
        <v>2</v>
      </c>
      <c r="B113" s="42" t="s">
        <v>350</v>
      </c>
      <c r="C113" s="79">
        <v>1948</v>
      </c>
      <c r="D113" s="79"/>
      <c r="E113" s="79"/>
      <c r="F113" s="79"/>
      <c r="G113" s="79"/>
      <c r="H113" s="79"/>
      <c r="I113" s="79"/>
      <c r="J113" s="41"/>
    </row>
    <row r="114" spans="1:10" ht="11.25" customHeight="1">
      <c r="A114" s="43">
        <v>2</v>
      </c>
      <c r="B114" s="42" t="s">
        <v>346</v>
      </c>
      <c r="C114" s="79">
        <v>1597</v>
      </c>
      <c r="D114" s="79"/>
      <c r="E114" s="79"/>
      <c r="F114" s="79"/>
      <c r="G114" s="79"/>
      <c r="H114" s="79"/>
      <c r="I114" s="79"/>
      <c r="J114" s="41"/>
    </row>
    <row r="115" spans="1:10" ht="11.25" customHeight="1">
      <c r="A115" s="43">
        <v>2</v>
      </c>
      <c r="B115" s="42" t="s">
        <v>348</v>
      </c>
      <c r="C115" s="79">
        <v>1378</v>
      </c>
      <c r="D115" s="79"/>
      <c r="E115" s="79"/>
      <c r="F115" s="79"/>
      <c r="G115" s="79"/>
      <c r="H115" s="79"/>
      <c r="I115" s="79"/>
      <c r="J115" s="41"/>
    </row>
    <row r="116" spans="1:10" ht="11.25" customHeight="1">
      <c r="A116" s="43">
        <v>2</v>
      </c>
      <c r="B116" s="42" t="s">
        <v>347</v>
      </c>
      <c r="C116" s="79">
        <v>1065</v>
      </c>
      <c r="D116" s="79"/>
      <c r="E116" s="79"/>
      <c r="F116" s="79"/>
      <c r="G116" s="79"/>
      <c r="H116" s="79"/>
      <c r="I116" s="79"/>
      <c r="J116" s="41"/>
    </row>
    <row r="117" spans="1:10" ht="11.25" customHeight="1">
      <c r="A117" s="43">
        <v>2</v>
      </c>
      <c r="B117" s="42" t="s">
        <v>349</v>
      </c>
      <c r="C117" s="80">
        <v>660</v>
      </c>
      <c r="D117" s="80"/>
      <c r="E117" s="80"/>
      <c r="F117" s="80"/>
      <c r="G117" s="80"/>
      <c r="H117" s="80"/>
      <c r="I117" s="80"/>
      <c r="J117" s="41"/>
    </row>
    <row r="118" spans="1:10" ht="11.25" customHeight="1">
      <c r="A118" s="43">
        <v>2</v>
      </c>
      <c r="B118" s="42" t="s">
        <v>345</v>
      </c>
      <c r="C118" s="80">
        <v>199</v>
      </c>
      <c r="D118" s="80"/>
      <c r="E118" s="80"/>
      <c r="F118" s="80"/>
      <c r="G118" s="80"/>
      <c r="H118" s="80"/>
      <c r="I118" s="80"/>
      <c r="J118" s="41"/>
    </row>
    <row r="119" spans="1:10" ht="11.25" customHeight="1">
      <c r="A119" s="43">
        <v>2</v>
      </c>
      <c r="B119" s="42" t="s">
        <v>227</v>
      </c>
      <c r="C119" s="82">
        <v>0</v>
      </c>
      <c r="D119" s="82"/>
      <c r="E119" s="82"/>
      <c r="F119" s="82"/>
      <c r="G119" s="82"/>
      <c r="H119" s="82"/>
      <c r="I119" s="82"/>
      <c r="J119" s="41"/>
    </row>
    <row r="120" spans="1:10" ht="11.25" customHeight="1">
      <c r="A120" s="43">
        <v>3</v>
      </c>
      <c r="B120" s="42" t="s">
        <v>351</v>
      </c>
      <c r="C120" s="86">
        <v>2443</v>
      </c>
      <c r="D120" s="86"/>
      <c r="E120" s="86"/>
      <c r="F120" s="86"/>
      <c r="G120" s="86"/>
      <c r="H120" s="86"/>
      <c r="I120" s="86"/>
      <c r="J120" s="41"/>
    </row>
    <row r="121" spans="1:10" ht="11.25" customHeight="1">
      <c r="A121" s="43">
        <v>3</v>
      </c>
      <c r="B121" s="42" t="s">
        <v>352</v>
      </c>
      <c r="C121" s="86">
        <v>2295</v>
      </c>
      <c r="D121" s="86"/>
      <c r="E121" s="86"/>
      <c r="F121" s="86"/>
      <c r="G121" s="86"/>
      <c r="H121" s="86"/>
      <c r="I121" s="86"/>
      <c r="J121" s="41"/>
    </row>
    <row r="122" spans="1:10" ht="11.25" customHeight="1">
      <c r="A122" s="43">
        <v>3</v>
      </c>
      <c r="B122" s="42" t="s">
        <v>258</v>
      </c>
      <c r="C122" s="86">
        <v>2048</v>
      </c>
      <c r="D122" s="86"/>
      <c r="E122" s="86"/>
      <c r="F122" s="86"/>
      <c r="G122" s="86"/>
      <c r="H122" s="86"/>
      <c r="I122" s="86"/>
      <c r="J122" s="41"/>
    </row>
    <row r="123" spans="1:10" ht="11.25" customHeight="1">
      <c r="A123" s="43">
        <v>3</v>
      </c>
      <c r="B123" s="42" t="s">
        <v>350</v>
      </c>
      <c r="C123" s="86">
        <v>1985</v>
      </c>
      <c r="D123" s="86"/>
      <c r="E123" s="86"/>
      <c r="F123" s="86"/>
      <c r="G123" s="86"/>
      <c r="H123" s="86"/>
      <c r="I123" s="86"/>
      <c r="J123" s="41"/>
    </row>
    <row r="124" spans="1:10" ht="11.25" customHeight="1">
      <c r="A124" s="43">
        <v>3</v>
      </c>
      <c r="B124" s="42" t="s">
        <v>346</v>
      </c>
      <c r="C124" s="86">
        <v>1615</v>
      </c>
      <c r="D124" s="86"/>
      <c r="E124" s="86"/>
      <c r="F124" s="86"/>
      <c r="G124" s="86"/>
      <c r="H124" s="86"/>
      <c r="I124" s="86"/>
      <c r="J124" s="41"/>
    </row>
    <row r="125" spans="1:10" ht="11.25" customHeight="1">
      <c r="A125" s="43">
        <v>3</v>
      </c>
      <c r="B125" s="42" t="s">
        <v>348</v>
      </c>
      <c r="C125" s="86">
        <v>1397</v>
      </c>
      <c r="D125" s="86"/>
      <c r="E125" s="86"/>
      <c r="F125" s="86"/>
      <c r="G125" s="86"/>
      <c r="H125" s="86"/>
      <c r="I125" s="86"/>
      <c r="J125" s="41"/>
    </row>
    <row r="126" spans="1:10" ht="11.25" customHeight="1">
      <c r="A126" s="43">
        <v>3</v>
      </c>
      <c r="B126" s="42" t="s">
        <v>347</v>
      </c>
      <c r="C126" s="86">
        <v>1081</v>
      </c>
      <c r="D126" s="86"/>
      <c r="E126" s="86"/>
      <c r="F126" s="86"/>
      <c r="G126" s="86"/>
      <c r="H126" s="86"/>
      <c r="I126" s="86"/>
      <c r="J126" s="41"/>
    </row>
    <row r="127" spans="1:10" ht="11.25" customHeight="1">
      <c r="A127" s="43">
        <v>3</v>
      </c>
      <c r="B127" s="42" t="s">
        <v>349</v>
      </c>
      <c r="C127" s="85">
        <v>667</v>
      </c>
      <c r="D127" s="85"/>
      <c r="E127" s="85"/>
      <c r="F127" s="85"/>
      <c r="G127" s="85"/>
      <c r="H127" s="85"/>
      <c r="I127" s="85"/>
      <c r="J127" s="41"/>
    </row>
    <row r="128" spans="1:10" ht="11.25" customHeight="1">
      <c r="A128" s="43">
        <v>3</v>
      </c>
      <c r="B128" s="42" t="s">
        <v>227</v>
      </c>
      <c r="C128" s="85">
        <v>0</v>
      </c>
      <c r="D128" s="85"/>
      <c r="E128" s="85"/>
      <c r="F128" s="85"/>
      <c r="G128" s="85"/>
      <c r="H128" s="85"/>
      <c r="I128" s="85"/>
      <c r="J128" s="41"/>
    </row>
    <row r="129" spans="1:10" ht="11.25" customHeight="1">
      <c r="A129" s="43">
        <v>3</v>
      </c>
      <c r="B129" s="42" t="s">
        <v>345</v>
      </c>
      <c r="C129" s="85">
        <v>0</v>
      </c>
      <c r="D129" s="85"/>
      <c r="E129" s="85"/>
      <c r="F129" s="85"/>
      <c r="G129" s="85"/>
      <c r="H129" s="85"/>
      <c r="I129" s="85"/>
      <c r="J129" s="41"/>
    </row>
    <row r="130" spans="1:10" ht="11.25" customHeight="1">
      <c r="A130" s="43">
        <v>4</v>
      </c>
      <c r="B130" s="42" t="s">
        <v>351</v>
      </c>
      <c r="C130" s="86">
        <v>2516</v>
      </c>
      <c r="D130" s="86"/>
      <c r="E130" s="86"/>
      <c r="F130" s="86"/>
      <c r="G130" s="86"/>
      <c r="H130" s="86"/>
      <c r="I130" s="86"/>
      <c r="J130" s="41"/>
    </row>
    <row r="131" spans="1:10" ht="11.25" customHeight="1">
      <c r="A131" s="43">
        <v>4</v>
      </c>
      <c r="B131" s="42" t="s">
        <v>352</v>
      </c>
      <c r="C131" s="86">
        <v>2371</v>
      </c>
      <c r="D131" s="86"/>
      <c r="E131" s="86"/>
      <c r="F131" s="86"/>
      <c r="G131" s="86"/>
      <c r="H131" s="86"/>
      <c r="I131" s="86"/>
      <c r="J131" s="41"/>
    </row>
    <row r="132" spans="1:10" ht="11.25" customHeight="1">
      <c r="A132" s="43">
        <v>4</v>
      </c>
      <c r="B132" s="42" t="s">
        <v>258</v>
      </c>
      <c r="C132" s="86">
        <v>2150</v>
      </c>
      <c r="D132" s="86"/>
      <c r="E132" s="86"/>
      <c r="F132" s="86"/>
      <c r="G132" s="86"/>
      <c r="H132" s="86"/>
      <c r="I132" s="86"/>
      <c r="J132" s="41"/>
    </row>
    <row r="133" spans="1:10" ht="11.25" customHeight="1">
      <c r="A133" s="43">
        <v>4</v>
      </c>
      <c r="B133" s="42" t="s">
        <v>350</v>
      </c>
      <c r="C133" s="86">
        <v>2044</v>
      </c>
      <c r="D133" s="86"/>
      <c r="E133" s="86"/>
      <c r="F133" s="86"/>
      <c r="G133" s="86"/>
      <c r="H133" s="86"/>
      <c r="I133" s="86"/>
      <c r="J133" s="41"/>
    </row>
    <row r="134" spans="1:10" ht="11.25" customHeight="1">
      <c r="A134" s="43">
        <v>4</v>
      </c>
      <c r="B134" s="42" t="s">
        <v>346</v>
      </c>
      <c r="C134" s="86">
        <v>1720</v>
      </c>
      <c r="D134" s="86"/>
      <c r="E134" s="86"/>
      <c r="F134" s="86"/>
      <c r="G134" s="86"/>
      <c r="H134" s="86"/>
      <c r="I134" s="86"/>
      <c r="J134" s="41"/>
    </row>
    <row r="135" spans="1:10" ht="11.25" customHeight="1">
      <c r="A135" s="43">
        <v>4</v>
      </c>
      <c r="B135" s="42" t="s">
        <v>348</v>
      </c>
      <c r="C135" s="86">
        <v>1429</v>
      </c>
      <c r="D135" s="86"/>
      <c r="E135" s="86"/>
      <c r="F135" s="86"/>
      <c r="G135" s="86"/>
      <c r="H135" s="86"/>
      <c r="I135" s="86"/>
      <c r="J135" s="41"/>
    </row>
    <row r="136" spans="1:10" ht="11.25" customHeight="1">
      <c r="A136" s="43">
        <v>4</v>
      </c>
      <c r="B136" s="42" t="s">
        <v>347</v>
      </c>
      <c r="C136" s="86">
        <v>1211</v>
      </c>
      <c r="D136" s="86"/>
      <c r="E136" s="86"/>
      <c r="F136" s="86"/>
      <c r="G136" s="86"/>
      <c r="H136" s="86"/>
      <c r="I136" s="86"/>
      <c r="J136" s="41"/>
    </row>
    <row r="137" spans="1:10" ht="11.25" customHeight="1">
      <c r="A137" s="43">
        <v>4</v>
      </c>
      <c r="B137" s="42" t="s">
        <v>349</v>
      </c>
      <c r="C137" s="85">
        <v>0</v>
      </c>
      <c r="D137" s="85"/>
      <c r="E137" s="85"/>
      <c r="F137" s="85"/>
      <c r="G137" s="85"/>
      <c r="H137" s="85"/>
      <c r="I137" s="85"/>
      <c r="J137" s="41"/>
    </row>
    <row r="138" spans="1:10" ht="11.25" customHeight="1">
      <c r="A138" s="43">
        <v>4</v>
      </c>
      <c r="B138" s="42" t="s">
        <v>227</v>
      </c>
      <c r="C138" s="85">
        <v>0</v>
      </c>
      <c r="D138" s="85"/>
      <c r="E138" s="85"/>
      <c r="F138" s="85"/>
      <c r="G138" s="85"/>
      <c r="H138" s="85"/>
      <c r="I138" s="85"/>
      <c r="J138" s="41"/>
    </row>
    <row r="139" spans="1:10" ht="11.25" customHeight="1">
      <c r="A139" s="43">
        <v>4</v>
      </c>
      <c r="B139" s="42" t="s">
        <v>345</v>
      </c>
      <c r="C139" s="85">
        <v>0</v>
      </c>
      <c r="D139" s="85"/>
      <c r="E139" s="85"/>
      <c r="F139" s="85"/>
      <c r="G139" s="85"/>
      <c r="H139" s="85"/>
      <c r="I139" s="85"/>
      <c r="J139" s="41"/>
    </row>
    <row r="140" spans="1:10" ht="11.25" customHeight="1">
      <c r="A140" s="43">
        <v>5</v>
      </c>
      <c r="B140" s="42" t="s">
        <v>352</v>
      </c>
      <c r="C140" s="86">
        <v>2691</v>
      </c>
      <c r="D140" s="86"/>
      <c r="E140" s="86"/>
      <c r="F140" s="86"/>
      <c r="G140" s="86"/>
      <c r="H140" s="86"/>
      <c r="I140" s="86"/>
      <c r="J140" s="41"/>
    </row>
    <row r="141" spans="1:10" ht="11.25" customHeight="1">
      <c r="A141" s="43">
        <v>5</v>
      </c>
      <c r="B141" s="42" t="s">
        <v>351</v>
      </c>
      <c r="C141" s="86">
        <v>2611</v>
      </c>
      <c r="D141" s="86"/>
      <c r="E141" s="86"/>
      <c r="F141" s="86"/>
      <c r="G141" s="86"/>
      <c r="H141" s="86"/>
      <c r="I141" s="86"/>
      <c r="J141" s="41"/>
    </row>
    <row r="142" spans="1:10" ht="11.25" customHeight="1">
      <c r="A142" s="43">
        <v>5</v>
      </c>
      <c r="B142" s="42" t="s">
        <v>258</v>
      </c>
      <c r="C142" s="86">
        <v>2404</v>
      </c>
      <c r="D142" s="86"/>
      <c r="E142" s="86"/>
      <c r="F142" s="86"/>
      <c r="G142" s="86"/>
      <c r="H142" s="86"/>
      <c r="I142" s="86"/>
      <c r="J142" s="41"/>
    </row>
    <row r="143" spans="1:10" ht="11.25" customHeight="1">
      <c r="A143" s="43">
        <v>5</v>
      </c>
      <c r="B143" s="42" t="s">
        <v>350</v>
      </c>
      <c r="C143" s="86">
        <v>2125</v>
      </c>
      <c r="D143" s="86"/>
      <c r="E143" s="86"/>
      <c r="F143" s="86"/>
      <c r="G143" s="86"/>
      <c r="H143" s="86"/>
      <c r="I143" s="86"/>
      <c r="J143" s="41"/>
    </row>
    <row r="144" spans="1:10" ht="11.25" customHeight="1">
      <c r="A144" s="43">
        <v>5</v>
      </c>
      <c r="B144" s="42" t="s">
        <v>346</v>
      </c>
      <c r="C144" s="86">
        <v>1921</v>
      </c>
      <c r="D144" s="86"/>
      <c r="E144" s="86"/>
      <c r="F144" s="86"/>
      <c r="G144" s="86"/>
      <c r="H144" s="86"/>
      <c r="I144" s="86"/>
      <c r="J144" s="41"/>
    </row>
    <row r="145" spans="1:10" ht="11.25" customHeight="1">
      <c r="A145" s="43">
        <v>5</v>
      </c>
      <c r="B145" s="42" t="s">
        <v>348</v>
      </c>
      <c r="C145" s="86">
        <v>1501</v>
      </c>
      <c r="D145" s="86"/>
      <c r="E145" s="86"/>
      <c r="F145" s="86"/>
      <c r="G145" s="86"/>
      <c r="H145" s="86"/>
      <c r="I145" s="86"/>
      <c r="J145" s="41"/>
    </row>
    <row r="146" spans="1:10" ht="11.25" customHeight="1">
      <c r="A146" s="43">
        <v>5</v>
      </c>
      <c r="B146" s="42" t="s">
        <v>349</v>
      </c>
      <c r="C146" s="85">
        <v>0</v>
      </c>
      <c r="D146" s="85"/>
      <c r="E146" s="85"/>
      <c r="F146" s="85"/>
      <c r="G146" s="85"/>
      <c r="H146" s="85"/>
      <c r="I146" s="85"/>
      <c r="J146" s="41"/>
    </row>
    <row r="147" spans="1:10" ht="11.25" customHeight="1">
      <c r="A147" s="43">
        <v>5</v>
      </c>
      <c r="B147" s="42" t="s">
        <v>347</v>
      </c>
      <c r="C147" s="85">
        <v>0</v>
      </c>
      <c r="D147" s="85"/>
      <c r="E147" s="85"/>
      <c r="F147" s="85"/>
      <c r="G147" s="85"/>
      <c r="H147" s="85"/>
      <c r="I147" s="85"/>
      <c r="J147" s="41"/>
    </row>
    <row r="148" spans="1:10" ht="11.25" customHeight="1">
      <c r="A148" s="43">
        <v>5</v>
      </c>
      <c r="B148" s="42" t="s">
        <v>227</v>
      </c>
      <c r="C148" s="85">
        <v>0</v>
      </c>
      <c r="D148" s="85"/>
      <c r="E148" s="85"/>
      <c r="F148" s="85"/>
      <c r="G148" s="85"/>
      <c r="H148" s="85"/>
      <c r="I148" s="85"/>
      <c r="J148" s="41"/>
    </row>
    <row r="149" spans="1:10" ht="11.25" customHeight="1">
      <c r="A149" s="43">
        <v>5</v>
      </c>
      <c r="B149" s="42" t="s">
        <v>345</v>
      </c>
      <c r="C149" s="85">
        <v>0</v>
      </c>
      <c r="D149" s="85"/>
      <c r="E149" s="85"/>
      <c r="F149" s="85"/>
      <c r="G149" s="85"/>
      <c r="H149" s="85"/>
      <c r="I149" s="85"/>
      <c r="J149" s="41"/>
    </row>
    <row r="150" spans="1:10" ht="11.25" customHeight="1">
      <c r="A150" s="43">
        <v>6</v>
      </c>
      <c r="B150" s="42" t="s">
        <v>351</v>
      </c>
      <c r="C150" s="86">
        <v>3099</v>
      </c>
      <c r="D150" s="86"/>
      <c r="E150" s="86"/>
      <c r="F150" s="86"/>
      <c r="G150" s="86"/>
      <c r="H150" s="86"/>
      <c r="I150" s="86"/>
      <c r="J150" s="41"/>
    </row>
    <row r="151" spans="1:10" ht="11.25" customHeight="1">
      <c r="A151" s="43">
        <v>6</v>
      </c>
      <c r="B151" s="42" t="s">
        <v>352</v>
      </c>
      <c r="C151" s="86">
        <v>2846</v>
      </c>
      <c r="D151" s="86"/>
      <c r="E151" s="86"/>
      <c r="F151" s="86"/>
      <c r="G151" s="86"/>
      <c r="H151" s="86"/>
      <c r="I151" s="86"/>
      <c r="J151" s="41"/>
    </row>
    <row r="152" spans="1:10" ht="11.25" customHeight="1">
      <c r="A152" s="43">
        <v>6</v>
      </c>
      <c r="B152" s="42" t="s">
        <v>258</v>
      </c>
      <c r="C152" s="86">
        <v>2534</v>
      </c>
      <c r="D152" s="86"/>
      <c r="E152" s="86"/>
      <c r="F152" s="86"/>
      <c r="G152" s="86"/>
      <c r="H152" s="86"/>
      <c r="I152" s="86"/>
      <c r="J152" s="41"/>
    </row>
    <row r="153" spans="1:10" ht="11.25" customHeight="1">
      <c r="A153" s="43">
        <v>6</v>
      </c>
      <c r="B153" s="42" t="s">
        <v>350</v>
      </c>
      <c r="C153" s="86">
        <v>2513</v>
      </c>
      <c r="D153" s="86"/>
      <c r="E153" s="86"/>
      <c r="F153" s="86"/>
      <c r="G153" s="86"/>
      <c r="H153" s="86"/>
      <c r="I153" s="86"/>
      <c r="J153" s="41"/>
    </row>
    <row r="154" spans="1:10" ht="11.25" customHeight="1">
      <c r="A154" s="43">
        <v>6</v>
      </c>
      <c r="B154" s="42" t="s">
        <v>346</v>
      </c>
      <c r="C154" s="86">
        <v>2060</v>
      </c>
      <c r="D154" s="86"/>
      <c r="E154" s="86"/>
      <c r="F154" s="86"/>
      <c r="G154" s="86"/>
      <c r="H154" s="86"/>
      <c r="I154" s="86"/>
      <c r="J154" s="41"/>
    </row>
    <row r="155" spans="1:10" ht="11.25" customHeight="1">
      <c r="A155" s="43">
        <v>6</v>
      </c>
      <c r="B155" s="42" t="s">
        <v>349</v>
      </c>
      <c r="C155" s="85">
        <v>0</v>
      </c>
      <c r="D155" s="85"/>
      <c r="E155" s="85"/>
      <c r="F155" s="85"/>
      <c r="G155" s="85"/>
      <c r="H155" s="85"/>
      <c r="I155" s="85"/>
      <c r="J155" s="41"/>
    </row>
    <row r="156" spans="1:10" ht="11.25" customHeight="1">
      <c r="A156" s="43">
        <v>6</v>
      </c>
      <c r="B156" s="42" t="s">
        <v>348</v>
      </c>
      <c r="C156" s="85">
        <v>0</v>
      </c>
      <c r="D156" s="85"/>
      <c r="E156" s="85"/>
      <c r="F156" s="85"/>
      <c r="G156" s="85"/>
      <c r="H156" s="85"/>
      <c r="I156" s="85"/>
      <c r="J156" s="41"/>
    </row>
    <row r="157" spans="1:10" ht="11.25" customHeight="1">
      <c r="A157" s="43">
        <v>6</v>
      </c>
      <c r="B157" s="42" t="s">
        <v>347</v>
      </c>
      <c r="C157" s="85">
        <v>0</v>
      </c>
      <c r="D157" s="85"/>
      <c r="E157" s="85"/>
      <c r="F157" s="85"/>
      <c r="G157" s="85"/>
      <c r="H157" s="85"/>
      <c r="I157" s="85"/>
      <c r="J157" s="41"/>
    </row>
    <row r="158" spans="1:10" ht="11.25" customHeight="1">
      <c r="A158" s="43">
        <v>6</v>
      </c>
      <c r="B158" s="42" t="s">
        <v>227</v>
      </c>
      <c r="C158" s="85">
        <v>0</v>
      </c>
      <c r="D158" s="85"/>
      <c r="E158" s="85"/>
      <c r="F158" s="85"/>
      <c r="G158" s="85"/>
      <c r="H158" s="85"/>
      <c r="I158" s="85"/>
      <c r="J158" s="41"/>
    </row>
    <row r="159" spans="1:10" ht="11.25" customHeight="1">
      <c r="A159" s="43">
        <v>6</v>
      </c>
      <c r="B159" s="42" t="s">
        <v>345</v>
      </c>
      <c r="C159" s="85">
        <v>0</v>
      </c>
      <c r="D159" s="85"/>
      <c r="E159" s="85"/>
      <c r="F159" s="85"/>
      <c r="G159" s="85"/>
      <c r="H159" s="85"/>
      <c r="I159" s="85"/>
      <c r="J159" s="41"/>
    </row>
    <row r="160" spans="1:10" ht="11.25" customHeight="1">
      <c r="A160" s="43">
        <v>7</v>
      </c>
      <c r="B160" s="42" t="s">
        <v>351</v>
      </c>
      <c r="C160" s="86">
        <v>3421</v>
      </c>
      <c r="D160" s="86"/>
      <c r="E160" s="86"/>
      <c r="F160" s="86"/>
      <c r="G160" s="86"/>
      <c r="H160" s="86"/>
      <c r="I160" s="86"/>
      <c r="J160" s="41"/>
    </row>
    <row r="161" spans="1:10" ht="11.25" customHeight="1">
      <c r="A161" s="43">
        <v>7</v>
      </c>
      <c r="B161" s="42" t="s">
        <v>352</v>
      </c>
      <c r="C161" s="86">
        <v>3381</v>
      </c>
      <c r="D161" s="86"/>
      <c r="E161" s="86"/>
      <c r="F161" s="86"/>
      <c r="G161" s="86"/>
      <c r="H161" s="86"/>
      <c r="I161" s="86"/>
      <c r="J161" s="41"/>
    </row>
    <row r="162" spans="1:10" ht="11.25" customHeight="1">
      <c r="A162" s="43">
        <v>7</v>
      </c>
      <c r="B162" s="42" t="s">
        <v>258</v>
      </c>
      <c r="C162" s="86">
        <v>2877</v>
      </c>
      <c r="D162" s="86"/>
      <c r="E162" s="86"/>
      <c r="F162" s="86"/>
      <c r="G162" s="86"/>
      <c r="H162" s="86"/>
      <c r="I162" s="86"/>
      <c r="J162" s="41"/>
    </row>
    <row r="163" spans="1:10" ht="11.25" customHeight="1">
      <c r="A163" s="43">
        <v>7</v>
      </c>
      <c r="B163" s="42" t="s">
        <v>350</v>
      </c>
      <c r="C163" s="86">
        <v>2812</v>
      </c>
      <c r="D163" s="86"/>
      <c r="E163" s="86"/>
      <c r="F163" s="86"/>
      <c r="G163" s="86"/>
      <c r="H163" s="86"/>
      <c r="I163" s="86"/>
      <c r="J163" s="41"/>
    </row>
    <row r="164" spans="1:10" ht="11.25" customHeight="1">
      <c r="A164" s="43">
        <v>7</v>
      </c>
      <c r="B164" s="42" t="s">
        <v>349</v>
      </c>
      <c r="C164" s="85">
        <v>0</v>
      </c>
      <c r="D164" s="85"/>
      <c r="E164" s="85"/>
      <c r="F164" s="85"/>
      <c r="G164" s="85"/>
      <c r="H164" s="85"/>
      <c r="I164" s="85"/>
      <c r="J164" s="41"/>
    </row>
    <row r="165" spans="1:10" ht="11.25" customHeight="1">
      <c r="A165" s="43">
        <v>7</v>
      </c>
      <c r="B165" s="42" t="s">
        <v>348</v>
      </c>
      <c r="C165" s="85">
        <v>0</v>
      </c>
      <c r="D165" s="85"/>
      <c r="E165" s="85"/>
      <c r="F165" s="85"/>
      <c r="G165" s="85"/>
      <c r="H165" s="85"/>
      <c r="I165" s="85"/>
      <c r="J165" s="41"/>
    </row>
    <row r="166" spans="1:10" ht="11.25" customHeight="1">
      <c r="A166" s="43">
        <v>7</v>
      </c>
      <c r="B166" s="42" t="s">
        <v>347</v>
      </c>
      <c r="C166" s="85">
        <v>0</v>
      </c>
      <c r="D166" s="85"/>
      <c r="E166" s="85"/>
      <c r="F166" s="85"/>
      <c r="G166" s="85"/>
      <c r="H166" s="85"/>
      <c r="I166" s="85"/>
      <c r="J166" s="41"/>
    </row>
    <row r="167" spans="1:10" ht="11.25" customHeight="1">
      <c r="A167" s="43">
        <v>7</v>
      </c>
      <c r="B167" s="42" t="s">
        <v>346</v>
      </c>
      <c r="C167" s="85">
        <v>0</v>
      </c>
      <c r="D167" s="85"/>
      <c r="E167" s="85"/>
      <c r="F167" s="85"/>
      <c r="G167" s="85"/>
      <c r="H167" s="85"/>
      <c r="I167" s="85"/>
      <c r="J167" s="41"/>
    </row>
    <row r="168" spans="1:10" ht="11.25" customHeight="1">
      <c r="A168" s="43">
        <v>7</v>
      </c>
      <c r="B168" s="42" t="s">
        <v>227</v>
      </c>
      <c r="C168" s="85">
        <v>0</v>
      </c>
      <c r="D168" s="85"/>
      <c r="E168" s="85"/>
      <c r="F168" s="85"/>
      <c r="G168" s="85"/>
      <c r="H168" s="85"/>
      <c r="I168" s="85"/>
      <c r="J168" s="41"/>
    </row>
    <row r="169" spans="1:10" ht="11.25" customHeight="1">
      <c r="A169" s="43">
        <v>7</v>
      </c>
      <c r="B169" s="42" t="s">
        <v>345</v>
      </c>
      <c r="C169" s="85">
        <v>0</v>
      </c>
      <c r="D169" s="85"/>
      <c r="E169" s="85"/>
      <c r="F169" s="85"/>
      <c r="G169" s="85"/>
      <c r="H169" s="85"/>
      <c r="I169" s="85"/>
      <c r="J169" s="41"/>
    </row>
    <row r="170" spans="1:10" ht="11.25" customHeight="1">
      <c r="A170" s="43">
        <v>8</v>
      </c>
      <c r="B170" s="42" t="s">
        <v>352</v>
      </c>
      <c r="C170" s="86">
        <v>3175.8951159930002</v>
      </c>
      <c r="D170" s="86"/>
      <c r="E170" s="86"/>
      <c r="F170" s="86"/>
      <c r="G170" s="86"/>
      <c r="H170" s="86"/>
      <c r="I170" s="86"/>
      <c r="J170" s="41"/>
    </row>
    <row r="171" spans="1:10" ht="11.25" customHeight="1">
      <c r="A171" s="43">
        <v>8</v>
      </c>
      <c r="B171" s="42" t="s">
        <v>351</v>
      </c>
      <c r="C171" s="86">
        <v>3161.7951728899998</v>
      </c>
      <c r="D171" s="86"/>
      <c r="E171" s="86"/>
      <c r="F171" s="86"/>
      <c r="G171" s="86"/>
      <c r="H171" s="86"/>
      <c r="I171" s="86"/>
      <c r="J171" s="41"/>
    </row>
    <row r="172" spans="1:10" ht="11.25" customHeight="1">
      <c r="A172" s="43">
        <v>8</v>
      </c>
      <c r="B172" s="42" t="s">
        <v>258</v>
      </c>
      <c r="C172" s="86">
        <v>3034.1634159280002</v>
      </c>
      <c r="D172" s="86"/>
      <c r="E172" s="86"/>
      <c r="F172" s="86"/>
      <c r="G172" s="86"/>
      <c r="H172" s="86"/>
      <c r="I172" s="86"/>
      <c r="J172" s="41"/>
    </row>
    <row r="173" spans="1:10" ht="11.25" customHeight="1">
      <c r="A173" s="43">
        <v>8</v>
      </c>
      <c r="B173" s="42" t="s">
        <v>350</v>
      </c>
      <c r="C173" s="86">
        <v>2943.8724012769999</v>
      </c>
      <c r="D173" s="86"/>
      <c r="E173" s="86"/>
      <c r="F173" s="86"/>
      <c r="G173" s="86"/>
      <c r="H173" s="86"/>
      <c r="I173" s="86"/>
      <c r="J173" s="41"/>
    </row>
    <row r="174" spans="1:10" ht="11.25" customHeight="1">
      <c r="A174" s="43">
        <v>8</v>
      </c>
      <c r="B174" s="42" t="s">
        <v>349</v>
      </c>
      <c r="C174" s="85">
        <v>0</v>
      </c>
      <c r="D174" s="85"/>
      <c r="E174" s="85"/>
      <c r="F174" s="85"/>
      <c r="G174" s="85"/>
      <c r="H174" s="85"/>
      <c r="I174" s="85"/>
      <c r="J174" s="41"/>
    </row>
    <row r="175" spans="1:10" ht="11.25" customHeight="1">
      <c r="A175" s="43">
        <v>8</v>
      </c>
      <c r="B175" s="42" t="s">
        <v>348</v>
      </c>
      <c r="C175" s="85">
        <v>0</v>
      </c>
      <c r="D175" s="85"/>
      <c r="E175" s="85"/>
      <c r="F175" s="85"/>
      <c r="G175" s="85"/>
      <c r="H175" s="85"/>
      <c r="I175" s="85"/>
      <c r="J175" s="41"/>
    </row>
    <row r="176" spans="1:10" ht="11.25" customHeight="1">
      <c r="A176" s="43">
        <v>8</v>
      </c>
      <c r="B176" s="42" t="s">
        <v>347</v>
      </c>
      <c r="C176" s="85">
        <v>0</v>
      </c>
      <c r="D176" s="85"/>
      <c r="E176" s="85"/>
      <c r="F176" s="85"/>
      <c r="G176" s="85"/>
      <c r="H176" s="85"/>
      <c r="I176" s="85"/>
      <c r="J176" s="41"/>
    </row>
    <row r="177" spans="1:10" ht="11.25" customHeight="1">
      <c r="A177" s="43">
        <v>8</v>
      </c>
      <c r="B177" s="42" t="s">
        <v>346</v>
      </c>
      <c r="C177" s="85">
        <v>0</v>
      </c>
      <c r="D177" s="85"/>
      <c r="E177" s="85"/>
      <c r="F177" s="85"/>
      <c r="G177" s="85"/>
      <c r="H177" s="85"/>
      <c r="I177" s="85"/>
      <c r="J177" s="41"/>
    </row>
    <row r="178" spans="1:10" ht="11.25" customHeight="1">
      <c r="A178" s="43">
        <v>8</v>
      </c>
      <c r="B178" s="42" t="s">
        <v>227</v>
      </c>
      <c r="C178" s="85">
        <v>0</v>
      </c>
      <c r="D178" s="85"/>
      <c r="E178" s="85"/>
      <c r="F178" s="85"/>
      <c r="G178" s="85"/>
      <c r="H178" s="85"/>
      <c r="I178" s="85"/>
      <c r="J178" s="41"/>
    </row>
    <row r="179" spans="1:10" ht="11.25" customHeight="1">
      <c r="A179" s="43">
        <v>8</v>
      </c>
      <c r="B179" s="42" t="s">
        <v>345</v>
      </c>
      <c r="C179" s="85">
        <v>0</v>
      </c>
      <c r="D179" s="85"/>
      <c r="E179" s="85"/>
      <c r="F179" s="85"/>
      <c r="G179" s="85"/>
      <c r="H179" s="85"/>
      <c r="I179" s="85"/>
      <c r="J179" s="41"/>
    </row>
    <row r="180" spans="1:10" ht="11.25" customHeight="1">
      <c r="A180" s="43">
        <v>9</v>
      </c>
      <c r="B180" s="42" t="s">
        <v>352</v>
      </c>
      <c r="C180" s="86">
        <v>3093.0694091370001</v>
      </c>
      <c r="D180" s="86"/>
      <c r="E180" s="86"/>
      <c r="F180" s="86"/>
      <c r="G180" s="86"/>
      <c r="H180" s="86"/>
      <c r="I180" s="86"/>
      <c r="J180" s="41"/>
    </row>
    <row r="181" spans="1:10" ht="11.25" customHeight="1">
      <c r="A181" s="43">
        <v>9</v>
      </c>
      <c r="B181" s="42" t="s">
        <v>351</v>
      </c>
      <c r="C181" s="86">
        <v>3092.9684876760002</v>
      </c>
      <c r="D181" s="86"/>
      <c r="E181" s="86"/>
      <c r="F181" s="86"/>
      <c r="G181" s="86"/>
      <c r="H181" s="86"/>
      <c r="I181" s="86"/>
      <c r="J181" s="41"/>
    </row>
    <row r="182" spans="1:10" ht="11.25" customHeight="1">
      <c r="A182" s="43">
        <v>9</v>
      </c>
      <c r="B182" s="42" t="s">
        <v>258</v>
      </c>
      <c r="C182" s="86">
        <v>3088.2945055219998</v>
      </c>
      <c r="D182" s="86"/>
      <c r="E182" s="86"/>
      <c r="F182" s="86"/>
      <c r="G182" s="86"/>
      <c r="H182" s="86"/>
      <c r="I182" s="86"/>
      <c r="J182" s="41"/>
    </row>
    <row r="183" spans="1:10" ht="11.25" customHeight="1">
      <c r="A183" s="43">
        <v>9</v>
      </c>
      <c r="B183" s="42" t="s">
        <v>350</v>
      </c>
      <c r="C183" s="86">
        <v>2984.3603967469999</v>
      </c>
      <c r="D183" s="86"/>
      <c r="E183" s="86"/>
      <c r="F183" s="86"/>
      <c r="G183" s="86"/>
      <c r="H183" s="86"/>
      <c r="I183" s="86"/>
      <c r="J183" s="41"/>
    </row>
    <row r="184" spans="1:10" ht="11.25" customHeight="1">
      <c r="A184" s="43">
        <v>9</v>
      </c>
      <c r="B184" s="42" t="s">
        <v>349</v>
      </c>
      <c r="C184" s="85">
        <v>0</v>
      </c>
      <c r="D184" s="85"/>
      <c r="E184" s="85"/>
      <c r="F184" s="85"/>
      <c r="G184" s="85"/>
      <c r="H184" s="85"/>
      <c r="I184" s="85"/>
      <c r="J184" s="41"/>
    </row>
    <row r="185" spans="1:10" ht="11.25" customHeight="1">
      <c r="A185" s="43">
        <v>9</v>
      </c>
      <c r="B185" s="42" t="s">
        <v>348</v>
      </c>
      <c r="C185" s="85">
        <v>0</v>
      </c>
      <c r="D185" s="85"/>
      <c r="E185" s="85"/>
      <c r="F185" s="85"/>
      <c r="G185" s="85"/>
      <c r="H185" s="85"/>
      <c r="I185" s="85"/>
      <c r="J185" s="41"/>
    </row>
    <row r="186" spans="1:10" ht="11.25" customHeight="1">
      <c r="A186" s="43">
        <v>9</v>
      </c>
      <c r="B186" s="42" t="s">
        <v>347</v>
      </c>
      <c r="C186" s="85">
        <v>0</v>
      </c>
      <c r="D186" s="85"/>
      <c r="E186" s="85"/>
      <c r="F186" s="85"/>
      <c r="G186" s="85"/>
      <c r="H186" s="85"/>
      <c r="I186" s="85"/>
      <c r="J186" s="41"/>
    </row>
    <row r="187" spans="1:10" ht="11.25" customHeight="1">
      <c r="A187" s="43">
        <v>9</v>
      </c>
      <c r="B187" s="42" t="s">
        <v>346</v>
      </c>
      <c r="C187" s="85">
        <v>0</v>
      </c>
      <c r="D187" s="85"/>
      <c r="E187" s="85"/>
      <c r="F187" s="85"/>
      <c r="G187" s="85"/>
      <c r="H187" s="85"/>
      <c r="I187" s="85"/>
      <c r="J187" s="41"/>
    </row>
    <row r="188" spans="1:10" ht="11.25" customHeight="1">
      <c r="A188" s="43">
        <v>9</v>
      </c>
      <c r="B188" s="42" t="s">
        <v>227</v>
      </c>
      <c r="C188" s="85">
        <v>0</v>
      </c>
      <c r="D188" s="85"/>
      <c r="E188" s="85"/>
      <c r="F188" s="85"/>
      <c r="G188" s="85"/>
      <c r="H188" s="85"/>
      <c r="I188" s="85"/>
      <c r="J188" s="41"/>
    </row>
    <row r="189" spans="1:10" ht="19.5" customHeight="1">
      <c r="A189" s="43">
        <v>9</v>
      </c>
      <c r="B189" s="42" t="s">
        <v>345</v>
      </c>
      <c r="C189" s="85">
        <v>0</v>
      </c>
      <c r="D189" s="85"/>
      <c r="E189" s="85"/>
      <c r="F189" s="85"/>
      <c r="G189" s="85"/>
      <c r="H189" s="85"/>
      <c r="I189" s="85"/>
      <c r="J189" s="44"/>
    </row>
    <row r="190" spans="1:10" ht="23" customHeight="1">
      <c r="A190" s="84" t="s">
        <v>224</v>
      </c>
      <c r="B190" s="84"/>
      <c r="C190" s="84"/>
      <c r="D190" s="84"/>
      <c r="E190" s="84"/>
      <c r="F190" s="84"/>
      <c r="G190" s="84"/>
      <c r="H190" s="84"/>
      <c r="I190" s="84"/>
      <c r="J190" s="84"/>
    </row>
    <row r="191" spans="1:10" ht="35" customHeight="1">
      <c r="A191" s="76" t="s">
        <v>344</v>
      </c>
      <c r="B191" s="76"/>
      <c r="C191" s="76"/>
      <c r="D191" s="76"/>
      <c r="E191" s="76"/>
      <c r="F191" s="76"/>
      <c r="G191" s="76"/>
      <c r="H191" s="76"/>
      <c r="I191" s="76"/>
      <c r="J191" s="76"/>
    </row>
    <row r="192" spans="1:10" ht="34.049999999999997" customHeight="1">
      <c r="A192" s="77" t="s">
        <v>343</v>
      </c>
      <c r="B192" s="77"/>
      <c r="C192" s="77"/>
      <c r="D192" s="77"/>
      <c r="E192" s="77"/>
      <c r="F192" s="77"/>
      <c r="G192" s="77"/>
      <c r="H192" s="77"/>
      <c r="I192" s="77"/>
      <c r="J192" s="77"/>
    </row>
    <row r="193" spans="1:10" ht="14.25" customHeight="1">
      <c r="A193" s="76" t="s">
        <v>342</v>
      </c>
      <c r="B193" s="76"/>
      <c r="C193" s="76"/>
      <c r="D193" s="76"/>
      <c r="E193" s="76"/>
      <c r="F193" s="76"/>
      <c r="G193" s="76"/>
      <c r="H193" s="76"/>
      <c r="I193" s="76"/>
      <c r="J193" s="76"/>
    </row>
    <row r="194" spans="1:10" ht="334.5" customHeight="1">
      <c r="A194" s="77" t="s">
        <v>341</v>
      </c>
      <c r="B194" s="77"/>
      <c r="C194" s="77"/>
      <c r="D194" s="77"/>
      <c r="E194" s="77"/>
      <c r="F194" s="77"/>
      <c r="G194" s="77"/>
      <c r="H194" s="77"/>
      <c r="I194" s="77"/>
      <c r="J194" s="77"/>
    </row>
    <row r="195" spans="1:10" ht="11.25" customHeight="1">
      <c r="A195" s="78" t="s">
        <v>237</v>
      </c>
      <c r="B195" s="78"/>
      <c r="C195" s="78" t="s">
        <v>244</v>
      </c>
      <c r="D195" s="78"/>
      <c r="E195" s="54" t="s">
        <v>238</v>
      </c>
      <c r="F195" s="57" t="s">
        <v>236</v>
      </c>
      <c r="G195" s="56" t="s">
        <v>243</v>
      </c>
      <c r="H195" s="55" t="s">
        <v>242</v>
      </c>
      <c r="I195" s="54" t="s">
        <v>241</v>
      </c>
      <c r="J195" s="41"/>
    </row>
    <row r="196" spans="1:10" ht="11.25" customHeight="1">
      <c r="A196" s="75" t="s">
        <v>340</v>
      </c>
      <c r="B196" s="75"/>
      <c r="C196" s="75" t="s">
        <v>240</v>
      </c>
      <c r="D196" s="75"/>
      <c r="E196" s="50">
        <v>4</v>
      </c>
      <c r="F196" s="53">
        <v>4401</v>
      </c>
      <c r="G196" s="49">
        <v>57</v>
      </c>
      <c r="H196" s="60">
        <v>4263.2500000010004</v>
      </c>
      <c r="I196" s="47">
        <v>0.75392453199999998</v>
      </c>
      <c r="J196" s="41"/>
    </row>
    <row r="197" spans="1:10" ht="11.25" customHeight="1">
      <c r="A197" s="75" t="s">
        <v>339</v>
      </c>
      <c r="B197" s="75"/>
      <c r="C197" s="75" t="s">
        <v>240</v>
      </c>
      <c r="D197" s="75"/>
      <c r="E197" s="50">
        <v>7</v>
      </c>
      <c r="F197" s="53">
        <v>4396.7762117040002</v>
      </c>
      <c r="G197" s="49">
        <v>440.89275065200002</v>
      </c>
      <c r="H197" s="60">
        <v>4167.2768123380001</v>
      </c>
      <c r="I197" s="47">
        <v>0.82139108299999997</v>
      </c>
      <c r="J197" s="41"/>
    </row>
    <row r="198" spans="1:10" ht="11.25" customHeight="1">
      <c r="A198" s="75" t="s">
        <v>338</v>
      </c>
      <c r="B198" s="75"/>
      <c r="C198" s="75" t="s">
        <v>240</v>
      </c>
      <c r="D198" s="75"/>
      <c r="E198" s="50">
        <v>9</v>
      </c>
      <c r="F198" s="53">
        <v>4219.2651852030003</v>
      </c>
      <c r="G198" s="53">
        <v>1315.224222674</v>
      </c>
      <c r="H198" s="60">
        <v>3948.6939443319998</v>
      </c>
      <c r="I198" s="47">
        <v>1</v>
      </c>
      <c r="J198" s="41"/>
    </row>
    <row r="199" spans="1:10" ht="11.25" customHeight="1">
      <c r="A199" s="75" t="s">
        <v>337</v>
      </c>
      <c r="B199" s="75"/>
      <c r="C199" s="75" t="s">
        <v>239</v>
      </c>
      <c r="D199" s="75"/>
      <c r="E199" s="50">
        <v>9</v>
      </c>
      <c r="F199" s="53">
        <v>3110.7386342499999</v>
      </c>
      <c r="G199" s="53">
        <v>1315.224222674</v>
      </c>
      <c r="H199" s="60">
        <v>3948.6939443319998</v>
      </c>
      <c r="I199" s="47">
        <v>0</v>
      </c>
      <c r="J199" s="41"/>
    </row>
    <row r="200" spans="1:10" ht="11.25" customHeight="1">
      <c r="A200" s="75" t="s">
        <v>332</v>
      </c>
      <c r="B200" s="75"/>
      <c r="C200" s="75" t="s">
        <v>239</v>
      </c>
      <c r="D200" s="75"/>
      <c r="E200" s="50">
        <v>7</v>
      </c>
      <c r="F200" s="53">
        <v>1724.2493285319999</v>
      </c>
      <c r="G200" s="49">
        <v>440.89275065200002</v>
      </c>
      <c r="H200" s="60">
        <v>4167.2768123380001</v>
      </c>
      <c r="I200" s="47">
        <v>0</v>
      </c>
      <c r="J200" s="41"/>
    </row>
    <row r="201" spans="1:10" ht="11.25" customHeight="1">
      <c r="A201" s="75" t="s">
        <v>336</v>
      </c>
      <c r="B201" s="75"/>
      <c r="C201" s="75" t="s">
        <v>239</v>
      </c>
      <c r="D201" s="75"/>
      <c r="E201" s="50">
        <v>6</v>
      </c>
      <c r="F201" s="53">
        <v>1161.680794889</v>
      </c>
      <c r="G201" s="49">
        <v>253.262805832</v>
      </c>
      <c r="H201" s="60">
        <v>4214.1842985430003</v>
      </c>
      <c r="I201" s="47">
        <v>0</v>
      </c>
      <c r="J201" s="41"/>
    </row>
    <row r="202" spans="1:10" ht="11.25" customHeight="1">
      <c r="A202" s="75" t="s">
        <v>331</v>
      </c>
      <c r="B202" s="75"/>
      <c r="C202" s="75" t="s">
        <v>239</v>
      </c>
      <c r="D202" s="75"/>
      <c r="E202" s="50">
        <v>5</v>
      </c>
      <c r="F202" s="49">
        <v>873.08486679999999</v>
      </c>
      <c r="G202" s="49">
        <v>136.13843389600001</v>
      </c>
      <c r="H202" s="60">
        <v>4243.4653915270001</v>
      </c>
      <c r="I202" s="47">
        <v>0</v>
      </c>
      <c r="J202" s="41"/>
    </row>
    <row r="203" spans="1:10" ht="11.25" customHeight="1">
      <c r="A203" s="75" t="s">
        <v>334</v>
      </c>
      <c r="B203" s="75"/>
      <c r="C203" s="75" t="s">
        <v>239</v>
      </c>
      <c r="D203" s="75"/>
      <c r="E203" s="50">
        <v>4</v>
      </c>
      <c r="F203" s="49">
        <v>607</v>
      </c>
      <c r="G203" s="49">
        <v>57</v>
      </c>
      <c r="H203" s="60">
        <v>4263.2500000010004</v>
      </c>
      <c r="I203" s="47">
        <v>0</v>
      </c>
      <c r="J203" s="41"/>
    </row>
    <row r="204" spans="1:10" ht="11.25" customHeight="1">
      <c r="A204" s="75" t="s">
        <v>330</v>
      </c>
      <c r="B204" s="75"/>
      <c r="C204" s="75" t="s">
        <v>239</v>
      </c>
      <c r="D204" s="75"/>
      <c r="E204" s="50">
        <v>3</v>
      </c>
      <c r="F204" s="49">
        <v>379</v>
      </c>
      <c r="G204" s="49">
        <v>21</v>
      </c>
      <c r="H204" s="60">
        <v>4272.2500000010004</v>
      </c>
      <c r="I204" s="47">
        <v>0</v>
      </c>
      <c r="J204" s="41"/>
    </row>
    <row r="205" spans="1:10" ht="11.25" customHeight="1">
      <c r="A205" s="75" t="s">
        <v>335</v>
      </c>
      <c r="B205" s="75"/>
      <c r="C205" s="75" t="s">
        <v>239</v>
      </c>
      <c r="D205" s="75"/>
      <c r="E205" s="50">
        <v>2</v>
      </c>
      <c r="F205" s="49">
        <v>173</v>
      </c>
      <c r="G205" s="49">
        <v>4</v>
      </c>
      <c r="H205" s="60">
        <v>4276.5000000010004</v>
      </c>
      <c r="I205" s="47">
        <v>0</v>
      </c>
      <c r="J205" s="41"/>
    </row>
    <row r="206" spans="1:10" ht="11.25" customHeight="1">
      <c r="A206" s="75" t="s">
        <v>333</v>
      </c>
      <c r="B206" s="75"/>
      <c r="C206" s="75" t="s">
        <v>239</v>
      </c>
      <c r="D206" s="75"/>
      <c r="E206" s="50">
        <v>1</v>
      </c>
      <c r="F206" s="49">
        <v>113</v>
      </c>
      <c r="G206" s="49">
        <v>0</v>
      </c>
      <c r="H206" s="60">
        <v>4277.5000000010004</v>
      </c>
      <c r="I206" s="47">
        <v>0</v>
      </c>
      <c r="J206" s="41"/>
    </row>
    <row r="207" spans="1:10" ht="21" customHeight="1">
      <c r="A207" s="46" t="s">
        <v>238</v>
      </c>
      <c r="B207" s="45" t="s">
        <v>237</v>
      </c>
      <c r="C207" s="83" t="s">
        <v>236</v>
      </c>
      <c r="D207" s="83"/>
      <c r="E207" s="83"/>
      <c r="F207" s="83"/>
      <c r="G207" s="83"/>
      <c r="H207" s="83"/>
      <c r="I207" s="83"/>
      <c r="J207" s="44"/>
    </row>
    <row r="208" spans="1:10" ht="11.25" customHeight="1">
      <c r="A208" s="43">
        <v>1</v>
      </c>
      <c r="B208" s="42" t="s">
        <v>340</v>
      </c>
      <c r="C208" s="79">
        <v>4192</v>
      </c>
      <c r="D208" s="79"/>
      <c r="E208" s="79"/>
      <c r="F208" s="79"/>
      <c r="G208" s="79"/>
      <c r="H208" s="79"/>
      <c r="I208" s="79"/>
      <c r="J208" s="41"/>
    </row>
    <row r="209" spans="1:10" ht="11.25" customHeight="1">
      <c r="A209" s="43">
        <v>1</v>
      </c>
      <c r="B209" s="42" t="s">
        <v>339</v>
      </c>
      <c r="C209" s="79">
        <v>3545</v>
      </c>
      <c r="D209" s="79"/>
      <c r="E209" s="79"/>
      <c r="F209" s="79"/>
      <c r="G209" s="79"/>
      <c r="H209" s="79"/>
      <c r="I209" s="79"/>
      <c r="J209" s="41"/>
    </row>
    <row r="210" spans="1:10" ht="11.25" customHeight="1">
      <c r="A210" s="43">
        <v>1</v>
      </c>
      <c r="B210" s="42" t="s">
        <v>338</v>
      </c>
      <c r="C210" s="79">
        <v>3051</v>
      </c>
      <c r="D210" s="79"/>
      <c r="E210" s="79"/>
      <c r="F210" s="79"/>
      <c r="G210" s="79"/>
      <c r="H210" s="79"/>
      <c r="I210" s="79"/>
      <c r="J210" s="41"/>
    </row>
    <row r="211" spans="1:10" ht="11.25" customHeight="1">
      <c r="A211" s="43">
        <v>1</v>
      </c>
      <c r="B211" s="42" t="s">
        <v>337</v>
      </c>
      <c r="C211" s="79">
        <v>2164</v>
      </c>
      <c r="D211" s="79"/>
      <c r="E211" s="79"/>
      <c r="F211" s="79"/>
      <c r="G211" s="79"/>
      <c r="H211" s="79"/>
      <c r="I211" s="79"/>
      <c r="J211" s="41"/>
    </row>
    <row r="212" spans="1:10" ht="11.25" customHeight="1">
      <c r="A212" s="43">
        <v>1</v>
      </c>
      <c r="B212" s="42" t="s">
        <v>332</v>
      </c>
      <c r="C212" s="79">
        <v>1230</v>
      </c>
      <c r="D212" s="79"/>
      <c r="E212" s="79"/>
      <c r="F212" s="79"/>
      <c r="G212" s="79"/>
      <c r="H212" s="79"/>
      <c r="I212" s="79"/>
      <c r="J212" s="41"/>
    </row>
    <row r="213" spans="1:10" ht="11.25" customHeight="1">
      <c r="A213" s="43">
        <v>1</v>
      </c>
      <c r="B213" s="42" t="s">
        <v>336</v>
      </c>
      <c r="C213" s="80">
        <v>941</v>
      </c>
      <c r="D213" s="80"/>
      <c r="E213" s="80"/>
      <c r="F213" s="80"/>
      <c r="G213" s="80"/>
      <c r="H213" s="80"/>
      <c r="I213" s="80"/>
      <c r="J213" s="41"/>
    </row>
    <row r="214" spans="1:10" ht="11.25" customHeight="1">
      <c r="A214" s="43">
        <v>1</v>
      </c>
      <c r="B214" s="42" t="s">
        <v>331</v>
      </c>
      <c r="C214" s="80">
        <v>779</v>
      </c>
      <c r="D214" s="80"/>
      <c r="E214" s="80"/>
      <c r="F214" s="80"/>
      <c r="G214" s="80"/>
      <c r="H214" s="80"/>
      <c r="I214" s="80"/>
      <c r="J214" s="41"/>
    </row>
    <row r="215" spans="1:10" ht="11.25" customHeight="1">
      <c r="A215" s="43">
        <v>1</v>
      </c>
      <c r="B215" s="42" t="s">
        <v>334</v>
      </c>
      <c r="C215" s="80">
        <v>563</v>
      </c>
      <c r="D215" s="80"/>
      <c r="E215" s="80"/>
      <c r="F215" s="80"/>
      <c r="G215" s="80"/>
      <c r="H215" s="80"/>
      <c r="I215" s="80"/>
      <c r="J215" s="41"/>
    </row>
    <row r="216" spans="1:10" ht="11.25" customHeight="1">
      <c r="A216" s="43">
        <v>1</v>
      </c>
      <c r="B216" s="42" t="s">
        <v>330</v>
      </c>
      <c r="C216" s="80">
        <v>363</v>
      </c>
      <c r="D216" s="80"/>
      <c r="E216" s="80"/>
      <c r="F216" s="80"/>
      <c r="G216" s="80"/>
      <c r="H216" s="80"/>
      <c r="I216" s="80"/>
      <c r="J216" s="41"/>
    </row>
    <row r="217" spans="1:10" ht="11.25" customHeight="1">
      <c r="A217" s="43">
        <v>1</v>
      </c>
      <c r="B217" s="42" t="s">
        <v>335</v>
      </c>
      <c r="C217" s="80">
        <v>169</v>
      </c>
      <c r="D217" s="80"/>
      <c r="E217" s="80"/>
      <c r="F217" s="80"/>
      <c r="G217" s="80"/>
      <c r="H217" s="80"/>
      <c r="I217" s="80"/>
      <c r="J217" s="41"/>
    </row>
    <row r="218" spans="1:10" ht="11.25" customHeight="1">
      <c r="A218" s="43">
        <v>1</v>
      </c>
      <c r="B218" s="42" t="s">
        <v>333</v>
      </c>
      <c r="C218" s="80">
        <v>113</v>
      </c>
      <c r="D218" s="80"/>
      <c r="E218" s="80"/>
      <c r="F218" s="80"/>
      <c r="G218" s="80"/>
      <c r="H218" s="80"/>
      <c r="I218" s="80"/>
      <c r="J218" s="41"/>
    </row>
    <row r="219" spans="1:10" ht="11.25" customHeight="1">
      <c r="A219" s="43">
        <v>2</v>
      </c>
      <c r="B219" s="42" t="s">
        <v>340</v>
      </c>
      <c r="C219" s="79">
        <v>4202</v>
      </c>
      <c r="D219" s="79"/>
      <c r="E219" s="79"/>
      <c r="F219" s="79"/>
      <c r="G219" s="79"/>
      <c r="H219" s="79"/>
      <c r="I219" s="79"/>
      <c r="J219" s="41"/>
    </row>
    <row r="220" spans="1:10" ht="11.25" customHeight="1">
      <c r="A220" s="43">
        <v>2</v>
      </c>
      <c r="B220" s="42" t="s">
        <v>339</v>
      </c>
      <c r="C220" s="79">
        <v>3553</v>
      </c>
      <c r="D220" s="79"/>
      <c r="E220" s="79"/>
      <c r="F220" s="79"/>
      <c r="G220" s="79"/>
      <c r="H220" s="79"/>
      <c r="I220" s="79"/>
      <c r="J220" s="41"/>
    </row>
    <row r="221" spans="1:10" ht="11.25" customHeight="1">
      <c r="A221" s="43">
        <v>2</v>
      </c>
      <c r="B221" s="42" t="s">
        <v>338</v>
      </c>
      <c r="C221" s="79">
        <v>3063</v>
      </c>
      <c r="D221" s="79"/>
      <c r="E221" s="79"/>
      <c r="F221" s="79"/>
      <c r="G221" s="79"/>
      <c r="H221" s="79"/>
      <c r="I221" s="79"/>
      <c r="J221" s="41"/>
    </row>
    <row r="222" spans="1:10" ht="11.25" customHeight="1">
      <c r="A222" s="43">
        <v>2</v>
      </c>
      <c r="B222" s="42" t="s">
        <v>337</v>
      </c>
      <c r="C222" s="79">
        <v>2199</v>
      </c>
      <c r="D222" s="79"/>
      <c r="E222" s="79"/>
      <c r="F222" s="79"/>
      <c r="G222" s="79"/>
      <c r="H222" s="79"/>
      <c r="I222" s="79"/>
      <c r="J222" s="41"/>
    </row>
    <row r="223" spans="1:10" ht="11.25" customHeight="1">
      <c r="A223" s="43">
        <v>2</v>
      </c>
      <c r="B223" s="42" t="s">
        <v>332</v>
      </c>
      <c r="C223" s="79">
        <v>1238</v>
      </c>
      <c r="D223" s="79"/>
      <c r="E223" s="79"/>
      <c r="F223" s="79"/>
      <c r="G223" s="79"/>
      <c r="H223" s="79"/>
      <c r="I223" s="79"/>
      <c r="J223" s="41"/>
    </row>
    <row r="224" spans="1:10" ht="11.25" customHeight="1">
      <c r="A224" s="43">
        <v>2</v>
      </c>
      <c r="B224" s="42" t="s">
        <v>336</v>
      </c>
      <c r="C224" s="80">
        <v>947</v>
      </c>
      <c r="D224" s="80"/>
      <c r="E224" s="80"/>
      <c r="F224" s="80"/>
      <c r="G224" s="80"/>
      <c r="H224" s="80"/>
      <c r="I224" s="80"/>
      <c r="J224" s="41"/>
    </row>
    <row r="225" spans="1:10" ht="11.25" customHeight="1">
      <c r="A225" s="43">
        <v>2</v>
      </c>
      <c r="B225" s="42" t="s">
        <v>331</v>
      </c>
      <c r="C225" s="80">
        <v>793</v>
      </c>
      <c r="D225" s="80"/>
      <c r="E225" s="80"/>
      <c r="F225" s="80"/>
      <c r="G225" s="80"/>
      <c r="H225" s="80"/>
      <c r="I225" s="80"/>
      <c r="J225" s="41"/>
    </row>
    <row r="226" spans="1:10" ht="11.25" customHeight="1">
      <c r="A226" s="43">
        <v>2</v>
      </c>
      <c r="B226" s="42" t="s">
        <v>334</v>
      </c>
      <c r="C226" s="80">
        <v>569</v>
      </c>
      <c r="D226" s="80"/>
      <c r="E226" s="80"/>
      <c r="F226" s="80"/>
      <c r="G226" s="80"/>
      <c r="H226" s="80"/>
      <c r="I226" s="80"/>
      <c r="J226" s="41"/>
    </row>
    <row r="227" spans="1:10" ht="11.25" customHeight="1">
      <c r="A227" s="43">
        <v>2</v>
      </c>
      <c r="B227" s="42" t="s">
        <v>330</v>
      </c>
      <c r="C227" s="80">
        <v>369</v>
      </c>
      <c r="D227" s="80"/>
      <c r="E227" s="80"/>
      <c r="F227" s="80"/>
      <c r="G227" s="80"/>
      <c r="H227" s="80"/>
      <c r="I227" s="80"/>
      <c r="J227" s="41"/>
    </row>
    <row r="228" spans="1:10" ht="11.25" customHeight="1">
      <c r="A228" s="43">
        <v>2</v>
      </c>
      <c r="B228" s="42" t="s">
        <v>335</v>
      </c>
      <c r="C228" s="80">
        <v>173</v>
      </c>
      <c r="D228" s="80"/>
      <c r="E228" s="80"/>
      <c r="F228" s="80"/>
      <c r="G228" s="80"/>
      <c r="H228" s="80"/>
      <c r="I228" s="80"/>
      <c r="J228" s="41"/>
    </row>
    <row r="229" spans="1:10" ht="11.25" customHeight="1">
      <c r="A229" s="43">
        <v>2</v>
      </c>
      <c r="B229" s="42" t="s">
        <v>333</v>
      </c>
      <c r="C229" s="82">
        <v>0</v>
      </c>
      <c r="D229" s="82"/>
      <c r="E229" s="82"/>
      <c r="F229" s="82"/>
      <c r="G229" s="82"/>
      <c r="H229" s="82"/>
      <c r="I229" s="82"/>
      <c r="J229" s="41"/>
    </row>
    <row r="230" spans="1:10" ht="11.25" customHeight="1">
      <c r="A230" s="43">
        <v>3</v>
      </c>
      <c r="B230" s="42" t="s">
        <v>340</v>
      </c>
      <c r="C230" s="79">
        <v>4238</v>
      </c>
      <c r="D230" s="79"/>
      <c r="E230" s="79"/>
      <c r="F230" s="79"/>
      <c r="G230" s="79"/>
      <c r="H230" s="79"/>
      <c r="I230" s="79"/>
      <c r="J230" s="41"/>
    </row>
    <row r="231" spans="1:10" ht="11.25" customHeight="1">
      <c r="A231" s="43">
        <v>3</v>
      </c>
      <c r="B231" s="42" t="s">
        <v>339</v>
      </c>
      <c r="C231" s="79">
        <v>3561</v>
      </c>
      <c r="D231" s="79"/>
      <c r="E231" s="79"/>
      <c r="F231" s="79"/>
      <c r="G231" s="79"/>
      <c r="H231" s="79"/>
      <c r="I231" s="79"/>
      <c r="J231" s="41"/>
    </row>
    <row r="232" spans="1:10" ht="11.25" customHeight="1">
      <c r="A232" s="43">
        <v>3</v>
      </c>
      <c r="B232" s="42" t="s">
        <v>338</v>
      </c>
      <c r="C232" s="79">
        <v>3085</v>
      </c>
      <c r="D232" s="79"/>
      <c r="E232" s="79"/>
      <c r="F232" s="79"/>
      <c r="G232" s="79"/>
      <c r="H232" s="79"/>
      <c r="I232" s="79"/>
      <c r="J232" s="41"/>
    </row>
    <row r="233" spans="1:10" ht="11.25" customHeight="1">
      <c r="A233" s="43">
        <v>3</v>
      </c>
      <c r="B233" s="42" t="s">
        <v>337</v>
      </c>
      <c r="C233" s="79">
        <v>2230</v>
      </c>
      <c r="D233" s="79"/>
      <c r="E233" s="79"/>
      <c r="F233" s="79"/>
      <c r="G233" s="79"/>
      <c r="H233" s="79"/>
      <c r="I233" s="79"/>
      <c r="J233" s="41"/>
    </row>
    <row r="234" spans="1:10" ht="11.25" customHeight="1">
      <c r="A234" s="43">
        <v>3</v>
      </c>
      <c r="B234" s="42" t="s">
        <v>332</v>
      </c>
      <c r="C234" s="79">
        <v>1255</v>
      </c>
      <c r="D234" s="79"/>
      <c r="E234" s="79"/>
      <c r="F234" s="79"/>
      <c r="G234" s="79"/>
      <c r="H234" s="79"/>
      <c r="I234" s="79"/>
      <c r="J234" s="41"/>
    </row>
    <row r="235" spans="1:10" ht="11.25" customHeight="1">
      <c r="A235" s="43">
        <v>3</v>
      </c>
      <c r="B235" s="42" t="s">
        <v>336</v>
      </c>
      <c r="C235" s="80">
        <v>962</v>
      </c>
      <c r="D235" s="80"/>
      <c r="E235" s="80"/>
      <c r="F235" s="80"/>
      <c r="G235" s="80"/>
      <c r="H235" s="80"/>
      <c r="I235" s="80"/>
      <c r="J235" s="41"/>
    </row>
    <row r="236" spans="1:10" ht="11.25" customHeight="1">
      <c r="A236" s="43">
        <v>3</v>
      </c>
      <c r="B236" s="42" t="s">
        <v>331</v>
      </c>
      <c r="C236" s="80">
        <v>799</v>
      </c>
      <c r="D236" s="80"/>
      <c r="E236" s="80"/>
      <c r="F236" s="80"/>
      <c r="G236" s="80"/>
      <c r="H236" s="80"/>
      <c r="I236" s="80"/>
      <c r="J236" s="41"/>
    </row>
    <row r="237" spans="1:10" ht="11.25" customHeight="1">
      <c r="A237" s="43">
        <v>3</v>
      </c>
      <c r="B237" s="42" t="s">
        <v>334</v>
      </c>
      <c r="C237" s="80">
        <v>580</v>
      </c>
      <c r="D237" s="80"/>
      <c r="E237" s="80"/>
      <c r="F237" s="80"/>
      <c r="G237" s="80"/>
      <c r="H237" s="80"/>
      <c r="I237" s="80"/>
      <c r="J237" s="41"/>
    </row>
    <row r="238" spans="1:10" ht="11.25" customHeight="1">
      <c r="A238" s="43">
        <v>3</v>
      </c>
      <c r="B238" s="42" t="s">
        <v>330</v>
      </c>
      <c r="C238" s="80">
        <v>379</v>
      </c>
      <c r="D238" s="80"/>
      <c r="E238" s="80"/>
      <c r="F238" s="80"/>
      <c r="G238" s="80"/>
      <c r="H238" s="80"/>
      <c r="I238" s="80"/>
      <c r="J238" s="41"/>
    </row>
    <row r="239" spans="1:10" ht="11.25" customHeight="1">
      <c r="A239" s="43">
        <v>3</v>
      </c>
      <c r="B239" s="42" t="s">
        <v>335</v>
      </c>
      <c r="C239" s="82">
        <v>0</v>
      </c>
      <c r="D239" s="82"/>
      <c r="E239" s="82"/>
      <c r="F239" s="82"/>
      <c r="G239" s="82"/>
      <c r="H239" s="82"/>
      <c r="I239" s="82"/>
      <c r="J239" s="41"/>
    </row>
    <row r="240" spans="1:10" ht="11.25" customHeight="1">
      <c r="A240" s="43">
        <v>3</v>
      </c>
      <c r="B240" s="42" t="s">
        <v>333</v>
      </c>
      <c r="C240" s="82">
        <v>0</v>
      </c>
      <c r="D240" s="82"/>
      <c r="E240" s="82"/>
      <c r="F240" s="82"/>
      <c r="G240" s="82"/>
      <c r="H240" s="82"/>
      <c r="I240" s="82"/>
      <c r="J240" s="41"/>
    </row>
    <row r="241" spans="1:10" ht="11.25" customHeight="1">
      <c r="A241" s="43">
        <v>4</v>
      </c>
      <c r="B241" s="42" t="s">
        <v>340</v>
      </c>
      <c r="C241" s="79">
        <v>4401</v>
      </c>
      <c r="D241" s="79"/>
      <c r="E241" s="79"/>
      <c r="F241" s="79"/>
      <c r="G241" s="79"/>
      <c r="H241" s="79"/>
      <c r="I241" s="79"/>
      <c r="J241" s="41"/>
    </row>
    <row r="242" spans="1:10" ht="11.25" customHeight="1">
      <c r="A242" s="43">
        <v>4</v>
      </c>
      <c r="B242" s="42" t="s">
        <v>339</v>
      </c>
      <c r="C242" s="79">
        <v>3623</v>
      </c>
      <c r="D242" s="79"/>
      <c r="E242" s="79"/>
      <c r="F242" s="79"/>
      <c r="G242" s="79"/>
      <c r="H242" s="79"/>
      <c r="I242" s="79"/>
      <c r="J242" s="41"/>
    </row>
    <row r="243" spans="1:10" ht="11.25" customHeight="1">
      <c r="A243" s="43">
        <v>4</v>
      </c>
      <c r="B243" s="42" t="s">
        <v>338</v>
      </c>
      <c r="C243" s="79">
        <v>3109</v>
      </c>
      <c r="D243" s="79"/>
      <c r="E243" s="79"/>
      <c r="F243" s="79"/>
      <c r="G243" s="79"/>
      <c r="H243" s="79"/>
      <c r="I243" s="79"/>
      <c r="J243" s="41"/>
    </row>
    <row r="244" spans="1:10" ht="11.25" customHeight="1">
      <c r="A244" s="43">
        <v>4</v>
      </c>
      <c r="B244" s="42" t="s">
        <v>337</v>
      </c>
      <c r="C244" s="86">
        <v>2239</v>
      </c>
      <c r="D244" s="86"/>
      <c r="E244" s="86"/>
      <c r="F244" s="86"/>
      <c r="G244" s="86"/>
      <c r="H244" s="86"/>
      <c r="I244" s="86"/>
      <c r="J244" s="41"/>
    </row>
    <row r="245" spans="1:10" ht="11.25" customHeight="1">
      <c r="A245" s="43">
        <v>4</v>
      </c>
      <c r="B245" s="42" t="s">
        <v>332</v>
      </c>
      <c r="C245" s="86">
        <v>1277</v>
      </c>
      <c r="D245" s="86"/>
      <c r="E245" s="86"/>
      <c r="F245" s="86"/>
      <c r="G245" s="86"/>
      <c r="H245" s="86"/>
      <c r="I245" s="86"/>
      <c r="J245" s="41"/>
    </row>
    <row r="246" spans="1:10" ht="11.25" customHeight="1">
      <c r="A246" s="43">
        <v>4</v>
      </c>
      <c r="B246" s="42" t="s">
        <v>336</v>
      </c>
      <c r="C246" s="85">
        <v>989</v>
      </c>
      <c r="D246" s="85"/>
      <c r="E246" s="85"/>
      <c r="F246" s="85"/>
      <c r="G246" s="85"/>
      <c r="H246" s="85"/>
      <c r="I246" s="85"/>
      <c r="J246" s="41"/>
    </row>
    <row r="247" spans="1:10" ht="11.25" customHeight="1">
      <c r="A247" s="43">
        <v>4</v>
      </c>
      <c r="B247" s="42" t="s">
        <v>331</v>
      </c>
      <c r="C247" s="85">
        <v>808</v>
      </c>
      <c r="D247" s="85"/>
      <c r="E247" s="85"/>
      <c r="F247" s="85"/>
      <c r="G247" s="85"/>
      <c r="H247" s="85"/>
      <c r="I247" s="85"/>
      <c r="J247" s="41"/>
    </row>
    <row r="248" spans="1:10" ht="11.25" customHeight="1">
      <c r="A248" s="43">
        <v>4</v>
      </c>
      <c r="B248" s="42" t="s">
        <v>334</v>
      </c>
      <c r="C248" s="85">
        <v>607</v>
      </c>
      <c r="D248" s="85"/>
      <c r="E248" s="85"/>
      <c r="F248" s="85"/>
      <c r="G248" s="85"/>
      <c r="H248" s="85"/>
      <c r="I248" s="85"/>
      <c r="J248" s="41"/>
    </row>
    <row r="249" spans="1:10" ht="11.25" customHeight="1">
      <c r="A249" s="43">
        <v>4</v>
      </c>
      <c r="B249" s="42" t="s">
        <v>335</v>
      </c>
      <c r="C249" s="85">
        <v>0</v>
      </c>
      <c r="D249" s="85"/>
      <c r="E249" s="85"/>
      <c r="F249" s="85"/>
      <c r="G249" s="85"/>
      <c r="H249" s="85"/>
      <c r="I249" s="85"/>
      <c r="J249" s="41"/>
    </row>
    <row r="250" spans="1:10" ht="11.25" customHeight="1">
      <c r="A250" s="43">
        <v>4</v>
      </c>
      <c r="B250" s="42" t="s">
        <v>333</v>
      </c>
      <c r="C250" s="85">
        <v>0</v>
      </c>
      <c r="D250" s="85"/>
      <c r="E250" s="85"/>
      <c r="F250" s="85"/>
      <c r="G250" s="85"/>
      <c r="H250" s="85"/>
      <c r="I250" s="85"/>
      <c r="J250" s="41"/>
    </row>
    <row r="251" spans="1:10" ht="11.25" customHeight="1">
      <c r="A251" s="43">
        <v>4</v>
      </c>
      <c r="B251" s="42" t="s">
        <v>330</v>
      </c>
      <c r="C251" s="85">
        <v>0</v>
      </c>
      <c r="D251" s="85"/>
      <c r="E251" s="85"/>
      <c r="F251" s="85"/>
      <c r="G251" s="85"/>
      <c r="H251" s="85"/>
      <c r="I251" s="85"/>
      <c r="J251" s="41"/>
    </row>
    <row r="252" spans="1:10" ht="11.25" customHeight="1">
      <c r="A252" s="43">
        <v>5</v>
      </c>
      <c r="B252" s="42" t="s">
        <v>340</v>
      </c>
      <c r="C252" s="86">
        <v>4400.8054447280001</v>
      </c>
      <c r="D252" s="86"/>
      <c r="E252" s="86"/>
      <c r="F252" s="86"/>
      <c r="G252" s="86"/>
      <c r="H252" s="86"/>
      <c r="I252" s="86"/>
      <c r="J252" s="41"/>
    </row>
    <row r="253" spans="1:10" ht="11.25" customHeight="1">
      <c r="A253" s="43">
        <v>5</v>
      </c>
      <c r="B253" s="42" t="s">
        <v>339</v>
      </c>
      <c r="C253" s="86">
        <v>3791.2673246240001</v>
      </c>
      <c r="D253" s="86"/>
      <c r="E253" s="86"/>
      <c r="F253" s="86"/>
      <c r="G253" s="86"/>
      <c r="H253" s="86"/>
      <c r="I253" s="86"/>
      <c r="J253" s="41"/>
    </row>
    <row r="254" spans="1:10" ht="11.25" customHeight="1">
      <c r="A254" s="43">
        <v>5</v>
      </c>
      <c r="B254" s="42" t="s">
        <v>338</v>
      </c>
      <c r="C254" s="86">
        <v>3178.1066233360002</v>
      </c>
      <c r="D254" s="86"/>
      <c r="E254" s="86"/>
      <c r="F254" s="86"/>
      <c r="G254" s="86"/>
      <c r="H254" s="86"/>
      <c r="I254" s="86"/>
      <c r="J254" s="41"/>
    </row>
    <row r="255" spans="1:10" ht="11.25" customHeight="1">
      <c r="A255" s="43">
        <v>5</v>
      </c>
      <c r="B255" s="42" t="s">
        <v>337</v>
      </c>
      <c r="C255" s="86">
        <v>2290.8827538239998</v>
      </c>
      <c r="D255" s="86"/>
      <c r="E255" s="86"/>
      <c r="F255" s="86"/>
      <c r="G255" s="86"/>
      <c r="H255" s="86"/>
      <c r="I255" s="86"/>
      <c r="J255" s="41"/>
    </row>
    <row r="256" spans="1:10" ht="11.25" customHeight="1">
      <c r="A256" s="43">
        <v>5</v>
      </c>
      <c r="B256" s="42" t="s">
        <v>332</v>
      </c>
      <c r="C256" s="86">
        <v>1362.906611744</v>
      </c>
      <c r="D256" s="86"/>
      <c r="E256" s="86"/>
      <c r="F256" s="86"/>
      <c r="G256" s="86"/>
      <c r="H256" s="86"/>
      <c r="I256" s="86"/>
      <c r="J256" s="41"/>
    </row>
    <row r="257" spans="1:10" ht="11.25" customHeight="1">
      <c r="A257" s="43">
        <v>5</v>
      </c>
      <c r="B257" s="42" t="s">
        <v>336</v>
      </c>
      <c r="C257" s="86">
        <v>1076.807941048</v>
      </c>
      <c r="D257" s="86"/>
      <c r="E257" s="86"/>
      <c r="F257" s="86"/>
      <c r="G257" s="86"/>
      <c r="H257" s="86"/>
      <c r="I257" s="86"/>
      <c r="J257" s="41"/>
    </row>
    <row r="258" spans="1:10" ht="11.25" customHeight="1">
      <c r="A258" s="43">
        <v>5</v>
      </c>
      <c r="B258" s="42" t="s">
        <v>331</v>
      </c>
      <c r="C258" s="85">
        <v>873.08486679999999</v>
      </c>
      <c r="D258" s="85"/>
      <c r="E258" s="85"/>
      <c r="F258" s="85"/>
      <c r="G258" s="85"/>
      <c r="H258" s="85"/>
      <c r="I258" s="85"/>
      <c r="J258" s="41"/>
    </row>
    <row r="259" spans="1:10" ht="11.25" customHeight="1">
      <c r="A259" s="43">
        <v>5</v>
      </c>
      <c r="B259" s="42" t="s">
        <v>335</v>
      </c>
      <c r="C259" s="85">
        <v>0</v>
      </c>
      <c r="D259" s="85"/>
      <c r="E259" s="85"/>
      <c r="F259" s="85"/>
      <c r="G259" s="85"/>
      <c r="H259" s="85"/>
      <c r="I259" s="85"/>
      <c r="J259" s="41"/>
    </row>
    <row r="260" spans="1:10" ht="11.25" customHeight="1">
      <c r="A260" s="43">
        <v>5</v>
      </c>
      <c r="B260" s="42" t="s">
        <v>334</v>
      </c>
      <c r="C260" s="85">
        <v>0</v>
      </c>
      <c r="D260" s="85"/>
      <c r="E260" s="85"/>
      <c r="F260" s="85"/>
      <c r="G260" s="85"/>
      <c r="H260" s="85"/>
      <c r="I260" s="85"/>
      <c r="J260" s="41"/>
    </row>
    <row r="261" spans="1:10" ht="11.25" customHeight="1">
      <c r="A261" s="43">
        <v>5</v>
      </c>
      <c r="B261" s="42" t="s">
        <v>333</v>
      </c>
      <c r="C261" s="85">
        <v>0</v>
      </c>
      <c r="D261" s="85"/>
      <c r="E261" s="85"/>
      <c r="F261" s="85"/>
      <c r="G261" s="85"/>
      <c r="H261" s="85"/>
      <c r="I261" s="85"/>
      <c r="J261" s="41"/>
    </row>
    <row r="262" spans="1:10" ht="11.25" customHeight="1">
      <c r="A262" s="43">
        <v>5</v>
      </c>
      <c r="B262" s="42" t="s">
        <v>330</v>
      </c>
      <c r="C262" s="85">
        <v>0</v>
      </c>
      <c r="D262" s="85"/>
      <c r="E262" s="85"/>
      <c r="F262" s="85"/>
      <c r="G262" s="85"/>
      <c r="H262" s="85"/>
      <c r="I262" s="85"/>
      <c r="J262" s="41"/>
    </row>
    <row r="263" spans="1:10" ht="11.25" customHeight="1">
      <c r="A263" s="43">
        <v>6</v>
      </c>
      <c r="B263" s="42" t="s">
        <v>340</v>
      </c>
      <c r="C263" s="86">
        <v>4379.8391454869998</v>
      </c>
      <c r="D263" s="86"/>
      <c r="E263" s="86"/>
      <c r="F263" s="86"/>
      <c r="G263" s="86"/>
      <c r="H263" s="86"/>
      <c r="I263" s="86"/>
      <c r="J263" s="41"/>
    </row>
    <row r="264" spans="1:10" ht="11.25" customHeight="1">
      <c r="A264" s="43">
        <v>6</v>
      </c>
      <c r="B264" s="42" t="s">
        <v>339</v>
      </c>
      <c r="C264" s="86">
        <v>3972.6688661080002</v>
      </c>
      <c r="D264" s="86"/>
      <c r="E264" s="86"/>
      <c r="F264" s="86"/>
      <c r="G264" s="86"/>
      <c r="H264" s="86"/>
      <c r="I264" s="86"/>
      <c r="J264" s="41"/>
    </row>
    <row r="265" spans="1:10" ht="11.25" customHeight="1">
      <c r="A265" s="43">
        <v>6</v>
      </c>
      <c r="B265" s="42" t="s">
        <v>338</v>
      </c>
      <c r="C265" s="86">
        <v>3355.4392972700002</v>
      </c>
      <c r="D265" s="86"/>
      <c r="E265" s="86"/>
      <c r="F265" s="86"/>
      <c r="G265" s="86"/>
      <c r="H265" s="86"/>
      <c r="I265" s="86"/>
      <c r="J265" s="41"/>
    </row>
    <row r="266" spans="1:10" ht="11.25" customHeight="1">
      <c r="A266" s="43">
        <v>6</v>
      </c>
      <c r="B266" s="42" t="s">
        <v>337</v>
      </c>
      <c r="C266" s="86">
        <v>2465.395444796</v>
      </c>
      <c r="D266" s="86"/>
      <c r="E266" s="86"/>
      <c r="F266" s="86"/>
      <c r="G266" s="86"/>
      <c r="H266" s="86"/>
      <c r="I266" s="86"/>
      <c r="J266" s="41"/>
    </row>
    <row r="267" spans="1:10" ht="11.25" customHeight="1">
      <c r="A267" s="43">
        <v>6</v>
      </c>
      <c r="B267" s="42" t="s">
        <v>332</v>
      </c>
      <c r="C267" s="86">
        <v>1521.7136456180001</v>
      </c>
      <c r="D267" s="86"/>
      <c r="E267" s="86"/>
      <c r="F267" s="86"/>
      <c r="G267" s="86"/>
      <c r="H267" s="86"/>
      <c r="I267" s="86"/>
      <c r="J267" s="41"/>
    </row>
    <row r="268" spans="1:10" ht="11.25" customHeight="1">
      <c r="A268" s="43">
        <v>6</v>
      </c>
      <c r="B268" s="42" t="s">
        <v>336</v>
      </c>
      <c r="C268" s="86">
        <v>1161.680794889</v>
      </c>
      <c r="D268" s="86"/>
      <c r="E268" s="86"/>
      <c r="F268" s="86"/>
      <c r="G268" s="86"/>
      <c r="H268" s="86"/>
      <c r="I268" s="86"/>
      <c r="J268" s="41"/>
    </row>
    <row r="269" spans="1:10" ht="11.25" customHeight="1">
      <c r="A269" s="43">
        <v>6</v>
      </c>
      <c r="B269" s="42" t="s">
        <v>335</v>
      </c>
      <c r="C269" s="85">
        <v>0</v>
      </c>
      <c r="D269" s="85"/>
      <c r="E269" s="85"/>
      <c r="F269" s="85"/>
      <c r="G269" s="85"/>
      <c r="H269" s="85"/>
      <c r="I269" s="85"/>
      <c r="J269" s="41"/>
    </row>
    <row r="270" spans="1:10" ht="11.25" customHeight="1">
      <c r="A270" s="43">
        <v>6</v>
      </c>
      <c r="B270" s="42" t="s">
        <v>334</v>
      </c>
      <c r="C270" s="85">
        <v>0</v>
      </c>
      <c r="D270" s="85"/>
      <c r="E270" s="85"/>
      <c r="F270" s="85"/>
      <c r="G270" s="85"/>
      <c r="H270" s="85"/>
      <c r="I270" s="85"/>
      <c r="J270" s="41"/>
    </row>
    <row r="271" spans="1:10" ht="11.25" customHeight="1">
      <c r="A271" s="43">
        <v>6</v>
      </c>
      <c r="B271" s="42" t="s">
        <v>333</v>
      </c>
      <c r="C271" s="85">
        <v>0</v>
      </c>
      <c r="D271" s="85"/>
      <c r="E271" s="85"/>
      <c r="F271" s="85"/>
      <c r="G271" s="85"/>
      <c r="H271" s="85"/>
      <c r="I271" s="85"/>
      <c r="J271" s="41"/>
    </row>
    <row r="272" spans="1:10" ht="11.25" customHeight="1">
      <c r="A272" s="43">
        <v>6</v>
      </c>
      <c r="B272" s="42" t="s">
        <v>331</v>
      </c>
      <c r="C272" s="85">
        <v>0</v>
      </c>
      <c r="D272" s="85"/>
      <c r="E272" s="85"/>
      <c r="F272" s="85"/>
      <c r="G272" s="85"/>
      <c r="H272" s="85"/>
      <c r="I272" s="85"/>
      <c r="J272" s="41"/>
    </row>
    <row r="273" spans="1:10" ht="11.25" customHeight="1">
      <c r="A273" s="43">
        <v>6</v>
      </c>
      <c r="B273" s="42" t="s">
        <v>330</v>
      </c>
      <c r="C273" s="85">
        <v>0</v>
      </c>
      <c r="D273" s="85"/>
      <c r="E273" s="85"/>
      <c r="F273" s="85"/>
      <c r="G273" s="85"/>
      <c r="H273" s="85"/>
      <c r="I273" s="85"/>
      <c r="J273" s="41"/>
    </row>
    <row r="274" spans="1:10" ht="11.25" customHeight="1">
      <c r="A274" s="43">
        <v>7</v>
      </c>
      <c r="B274" s="42" t="s">
        <v>340</v>
      </c>
      <c r="C274" s="86">
        <v>4463.1348348080001</v>
      </c>
      <c r="D274" s="86"/>
      <c r="E274" s="86"/>
      <c r="F274" s="86"/>
      <c r="G274" s="86"/>
      <c r="H274" s="86"/>
      <c r="I274" s="86"/>
      <c r="J274" s="41"/>
    </row>
    <row r="275" spans="1:10" ht="11.25" customHeight="1">
      <c r="A275" s="43">
        <v>7</v>
      </c>
      <c r="B275" s="42" t="s">
        <v>339</v>
      </c>
      <c r="C275" s="86">
        <v>4396.7762117040002</v>
      </c>
      <c r="D275" s="86"/>
      <c r="E275" s="86"/>
      <c r="F275" s="86"/>
      <c r="G275" s="86"/>
      <c r="H275" s="86"/>
      <c r="I275" s="86"/>
      <c r="J275" s="41"/>
    </row>
    <row r="276" spans="1:10" ht="11.25" customHeight="1">
      <c r="A276" s="43">
        <v>7</v>
      </c>
      <c r="B276" s="42" t="s">
        <v>338</v>
      </c>
      <c r="C276" s="86">
        <v>3514.4667964400001</v>
      </c>
      <c r="D276" s="86"/>
      <c r="E276" s="86"/>
      <c r="F276" s="86"/>
      <c r="G276" s="86"/>
      <c r="H276" s="86"/>
      <c r="I276" s="86"/>
      <c r="J276" s="41"/>
    </row>
    <row r="277" spans="1:10" ht="11.25" customHeight="1">
      <c r="A277" s="43">
        <v>7</v>
      </c>
      <c r="B277" s="42" t="s">
        <v>337</v>
      </c>
      <c r="C277" s="86">
        <v>2570.4800778640001</v>
      </c>
      <c r="D277" s="86"/>
      <c r="E277" s="86"/>
      <c r="F277" s="86"/>
      <c r="G277" s="86"/>
      <c r="H277" s="86"/>
      <c r="I277" s="86"/>
      <c r="J277" s="41"/>
    </row>
    <row r="278" spans="1:10" ht="11.25" customHeight="1">
      <c r="A278" s="43">
        <v>7</v>
      </c>
      <c r="B278" s="42" t="s">
        <v>332</v>
      </c>
      <c r="C278" s="86">
        <v>1724.2493285319999</v>
      </c>
      <c r="D278" s="86"/>
      <c r="E278" s="86"/>
      <c r="F278" s="86"/>
      <c r="G278" s="86"/>
      <c r="H278" s="86"/>
      <c r="I278" s="86"/>
      <c r="J278" s="41"/>
    </row>
    <row r="279" spans="1:10" ht="11.25" customHeight="1">
      <c r="A279" s="43">
        <v>7</v>
      </c>
      <c r="B279" s="42" t="s">
        <v>336</v>
      </c>
      <c r="C279" s="85">
        <v>0</v>
      </c>
      <c r="D279" s="85"/>
      <c r="E279" s="85"/>
      <c r="F279" s="85"/>
      <c r="G279" s="85"/>
      <c r="H279" s="85"/>
      <c r="I279" s="85"/>
      <c r="J279" s="41"/>
    </row>
    <row r="280" spans="1:10" ht="11.25" customHeight="1">
      <c r="A280" s="43">
        <v>7</v>
      </c>
      <c r="B280" s="42" t="s">
        <v>335</v>
      </c>
      <c r="C280" s="85">
        <v>0</v>
      </c>
      <c r="D280" s="85"/>
      <c r="E280" s="85"/>
      <c r="F280" s="85"/>
      <c r="G280" s="85"/>
      <c r="H280" s="85"/>
      <c r="I280" s="85"/>
      <c r="J280" s="41"/>
    </row>
    <row r="281" spans="1:10" ht="11.25" customHeight="1">
      <c r="A281" s="43">
        <v>7</v>
      </c>
      <c r="B281" s="42" t="s">
        <v>334</v>
      </c>
      <c r="C281" s="85">
        <v>0</v>
      </c>
      <c r="D281" s="85"/>
      <c r="E281" s="85"/>
      <c r="F281" s="85"/>
      <c r="G281" s="85"/>
      <c r="H281" s="85"/>
      <c r="I281" s="85"/>
      <c r="J281" s="41"/>
    </row>
    <row r="282" spans="1:10" ht="11.25" customHeight="1">
      <c r="A282" s="43">
        <v>7</v>
      </c>
      <c r="B282" s="42" t="s">
        <v>333</v>
      </c>
      <c r="C282" s="85">
        <v>0</v>
      </c>
      <c r="D282" s="85"/>
      <c r="E282" s="85"/>
      <c r="F282" s="85"/>
      <c r="G282" s="85"/>
      <c r="H282" s="85"/>
      <c r="I282" s="85"/>
      <c r="J282" s="41"/>
    </row>
    <row r="283" spans="1:10" ht="11.25" customHeight="1">
      <c r="A283" s="43">
        <v>7</v>
      </c>
      <c r="B283" s="42" t="s">
        <v>331</v>
      </c>
      <c r="C283" s="85">
        <v>0</v>
      </c>
      <c r="D283" s="85"/>
      <c r="E283" s="85"/>
      <c r="F283" s="85"/>
      <c r="G283" s="85"/>
      <c r="H283" s="85"/>
      <c r="I283" s="85"/>
      <c r="J283" s="41"/>
    </row>
    <row r="284" spans="1:10" ht="11.25" customHeight="1">
      <c r="A284" s="43">
        <v>7</v>
      </c>
      <c r="B284" s="42" t="s">
        <v>330</v>
      </c>
      <c r="C284" s="85">
        <v>0</v>
      </c>
      <c r="D284" s="85"/>
      <c r="E284" s="85"/>
      <c r="F284" s="85"/>
      <c r="G284" s="85"/>
      <c r="H284" s="85"/>
      <c r="I284" s="85"/>
      <c r="J284" s="41"/>
    </row>
    <row r="285" spans="1:10" ht="11.25" customHeight="1">
      <c r="A285" s="43">
        <v>8</v>
      </c>
      <c r="B285" s="42" t="s">
        <v>339</v>
      </c>
      <c r="C285" s="86">
        <v>4673.6335866400004</v>
      </c>
      <c r="D285" s="86"/>
      <c r="E285" s="86"/>
      <c r="F285" s="86"/>
      <c r="G285" s="86"/>
      <c r="H285" s="86"/>
      <c r="I285" s="86"/>
      <c r="J285" s="41"/>
    </row>
    <row r="286" spans="1:10" ht="11.25" customHeight="1">
      <c r="A286" s="43">
        <v>8</v>
      </c>
      <c r="B286" s="42" t="s">
        <v>340</v>
      </c>
      <c r="C286" s="86">
        <v>4508.2128818499996</v>
      </c>
      <c r="D286" s="86"/>
      <c r="E286" s="86"/>
      <c r="F286" s="86"/>
      <c r="G286" s="86"/>
      <c r="H286" s="86"/>
      <c r="I286" s="86"/>
      <c r="J286" s="41"/>
    </row>
    <row r="287" spans="1:10" ht="11.25" customHeight="1">
      <c r="A287" s="43">
        <v>8</v>
      </c>
      <c r="B287" s="42" t="s">
        <v>338</v>
      </c>
      <c r="C287" s="86">
        <v>4017.686355632</v>
      </c>
      <c r="D287" s="86"/>
      <c r="E287" s="86"/>
      <c r="F287" s="86"/>
      <c r="G287" s="86"/>
      <c r="H287" s="86"/>
      <c r="I287" s="86"/>
      <c r="J287" s="41"/>
    </row>
    <row r="288" spans="1:10" ht="11.25" customHeight="1">
      <c r="A288" s="43">
        <v>8</v>
      </c>
      <c r="B288" s="42" t="s">
        <v>337</v>
      </c>
      <c r="C288" s="86">
        <v>3001.6471725860001</v>
      </c>
      <c r="D288" s="86"/>
      <c r="E288" s="86"/>
      <c r="F288" s="86"/>
      <c r="G288" s="86"/>
      <c r="H288" s="86"/>
      <c r="I288" s="86"/>
      <c r="J288" s="41"/>
    </row>
    <row r="289" spans="1:10" ht="11.25" customHeight="1">
      <c r="A289" s="43">
        <v>8</v>
      </c>
      <c r="B289" s="42" t="s">
        <v>336</v>
      </c>
      <c r="C289" s="85">
        <v>0</v>
      </c>
      <c r="D289" s="85"/>
      <c r="E289" s="85"/>
      <c r="F289" s="85"/>
      <c r="G289" s="85"/>
      <c r="H289" s="85"/>
      <c r="I289" s="85"/>
      <c r="J289" s="41"/>
    </row>
    <row r="290" spans="1:10" ht="11.25" customHeight="1">
      <c r="A290" s="43">
        <v>8</v>
      </c>
      <c r="B290" s="42" t="s">
        <v>335</v>
      </c>
      <c r="C290" s="85">
        <v>0</v>
      </c>
      <c r="D290" s="85"/>
      <c r="E290" s="85"/>
      <c r="F290" s="85"/>
      <c r="G290" s="85"/>
      <c r="H290" s="85"/>
      <c r="I290" s="85"/>
      <c r="J290" s="41"/>
    </row>
    <row r="291" spans="1:10" ht="11.25" customHeight="1">
      <c r="A291" s="43">
        <v>8</v>
      </c>
      <c r="B291" s="42" t="s">
        <v>334</v>
      </c>
      <c r="C291" s="85">
        <v>0</v>
      </c>
      <c r="D291" s="85"/>
      <c r="E291" s="85"/>
      <c r="F291" s="85"/>
      <c r="G291" s="85"/>
      <c r="H291" s="85"/>
      <c r="I291" s="85"/>
      <c r="J291" s="41"/>
    </row>
    <row r="292" spans="1:10" ht="11.25" customHeight="1">
      <c r="A292" s="43">
        <v>8</v>
      </c>
      <c r="B292" s="42" t="s">
        <v>333</v>
      </c>
      <c r="C292" s="85">
        <v>0</v>
      </c>
      <c r="D292" s="85"/>
      <c r="E292" s="85"/>
      <c r="F292" s="85"/>
      <c r="G292" s="85"/>
      <c r="H292" s="85"/>
      <c r="I292" s="85"/>
      <c r="J292" s="41"/>
    </row>
    <row r="293" spans="1:10" ht="11.25" customHeight="1">
      <c r="A293" s="43">
        <v>8</v>
      </c>
      <c r="B293" s="42" t="s">
        <v>332</v>
      </c>
      <c r="C293" s="85">
        <v>0</v>
      </c>
      <c r="D293" s="85"/>
      <c r="E293" s="85"/>
      <c r="F293" s="85"/>
      <c r="G293" s="85"/>
      <c r="H293" s="85"/>
      <c r="I293" s="85"/>
      <c r="J293" s="41"/>
    </row>
    <row r="294" spans="1:10" ht="11.25" customHeight="1">
      <c r="A294" s="43">
        <v>8</v>
      </c>
      <c r="B294" s="42" t="s">
        <v>331</v>
      </c>
      <c r="C294" s="85">
        <v>0</v>
      </c>
      <c r="D294" s="85"/>
      <c r="E294" s="85"/>
      <c r="F294" s="85"/>
      <c r="G294" s="85"/>
      <c r="H294" s="85"/>
      <c r="I294" s="85"/>
      <c r="J294" s="41"/>
    </row>
    <row r="295" spans="1:10" ht="11.25" customHeight="1">
      <c r="A295" s="43">
        <v>8</v>
      </c>
      <c r="B295" s="42" t="s">
        <v>330</v>
      </c>
      <c r="C295" s="85">
        <v>0</v>
      </c>
      <c r="D295" s="85"/>
      <c r="E295" s="85"/>
      <c r="F295" s="85"/>
      <c r="G295" s="85"/>
      <c r="H295" s="85"/>
      <c r="I295" s="85"/>
      <c r="J295" s="41"/>
    </row>
    <row r="296" spans="1:10" ht="11.25" customHeight="1">
      <c r="A296" s="43">
        <v>9</v>
      </c>
      <c r="B296" s="42" t="s">
        <v>340</v>
      </c>
      <c r="C296" s="86">
        <v>4242.5249800089996</v>
      </c>
      <c r="D296" s="86"/>
      <c r="E296" s="86"/>
      <c r="F296" s="86"/>
      <c r="G296" s="86"/>
      <c r="H296" s="86"/>
      <c r="I296" s="86"/>
      <c r="J296" s="41"/>
    </row>
    <row r="297" spans="1:10" ht="11.25" customHeight="1">
      <c r="A297" s="43">
        <v>9</v>
      </c>
      <c r="B297" s="42" t="s">
        <v>339</v>
      </c>
      <c r="C297" s="86">
        <v>4222.2469778639997</v>
      </c>
      <c r="D297" s="86"/>
      <c r="E297" s="86"/>
      <c r="F297" s="86"/>
      <c r="G297" s="86"/>
      <c r="H297" s="86"/>
      <c r="I297" s="86"/>
      <c r="J297" s="41"/>
    </row>
    <row r="298" spans="1:10" ht="11.25" customHeight="1">
      <c r="A298" s="43">
        <v>9</v>
      </c>
      <c r="B298" s="42" t="s">
        <v>338</v>
      </c>
      <c r="C298" s="86">
        <v>4219.2651852030003</v>
      </c>
      <c r="D298" s="86"/>
      <c r="E298" s="86"/>
      <c r="F298" s="86"/>
      <c r="G298" s="86"/>
      <c r="H298" s="86"/>
      <c r="I298" s="86"/>
      <c r="J298" s="41"/>
    </row>
    <row r="299" spans="1:10" ht="11.25" customHeight="1">
      <c r="A299" s="43">
        <v>9</v>
      </c>
      <c r="B299" s="42" t="s">
        <v>337</v>
      </c>
      <c r="C299" s="86">
        <v>3110.7386342499999</v>
      </c>
      <c r="D299" s="86"/>
      <c r="E299" s="86"/>
      <c r="F299" s="86"/>
      <c r="G299" s="86"/>
      <c r="H299" s="86"/>
      <c r="I299" s="86"/>
      <c r="J299" s="41"/>
    </row>
    <row r="300" spans="1:10" ht="11.25" customHeight="1">
      <c r="A300" s="43">
        <v>9</v>
      </c>
      <c r="B300" s="42" t="s">
        <v>336</v>
      </c>
      <c r="C300" s="85">
        <v>0</v>
      </c>
      <c r="D300" s="85"/>
      <c r="E300" s="85"/>
      <c r="F300" s="85"/>
      <c r="G300" s="85"/>
      <c r="H300" s="85"/>
      <c r="I300" s="85"/>
      <c r="J300" s="41"/>
    </row>
    <row r="301" spans="1:10" ht="11.25" customHeight="1">
      <c r="A301" s="43">
        <v>9</v>
      </c>
      <c r="B301" s="42" t="s">
        <v>335</v>
      </c>
      <c r="C301" s="85">
        <v>0</v>
      </c>
      <c r="D301" s="85"/>
      <c r="E301" s="85"/>
      <c r="F301" s="85"/>
      <c r="G301" s="85"/>
      <c r="H301" s="85"/>
      <c r="I301" s="85"/>
      <c r="J301" s="41"/>
    </row>
    <row r="302" spans="1:10" ht="11.25" customHeight="1">
      <c r="A302" s="43">
        <v>9</v>
      </c>
      <c r="B302" s="42" t="s">
        <v>334</v>
      </c>
      <c r="C302" s="85">
        <v>0</v>
      </c>
      <c r="D302" s="85"/>
      <c r="E302" s="85"/>
      <c r="F302" s="85"/>
      <c r="G302" s="85"/>
      <c r="H302" s="85"/>
      <c r="I302" s="85"/>
      <c r="J302" s="41"/>
    </row>
    <row r="303" spans="1:10" ht="11.25" customHeight="1">
      <c r="A303" s="43">
        <v>9</v>
      </c>
      <c r="B303" s="42" t="s">
        <v>333</v>
      </c>
      <c r="C303" s="85">
        <v>0</v>
      </c>
      <c r="D303" s="85"/>
      <c r="E303" s="85"/>
      <c r="F303" s="85"/>
      <c r="G303" s="85"/>
      <c r="H303" s="85"/>
      <c r="I303" s="85"/>
      <c r="J303" s="41"/>
    </row>
    <row r="304" spans="1:10" ht="11.25" customHeight="1">
      <c r="A304" s="43">
        <v>9</v>
      </c>
      <c r="B304" s="42" t="s">
        <v>332</v>
      </c>
      <c r="C304" s="85">
        <v>0</v>
      </c>
      <c r="D304" s="85"/>
      <c r="E304" s="85"/>
      <c r="F304" s="85"/>
      <c r="G304" s="85"/>
      <c r="H304" s="85"/>
      <c r="I304" s="85"/>
      <c r="J304" s="41"/>
    </row>
    <row r="305" spans="1:10" ht="11.25" customHeight="1">
      <c r="A305" s="43">
        <v>9</v>
      </c>
      <c r="B305" s="42" t="s">
        <v>331</v>
      </c>
      <c r="C305" s="85">
        <v>0</v>
      </c>
      <c r="D305" s="85"/>
      <c r="E305" s="85"/>
      <c r="F305" s="85"/>
      <c r="G305" s="85"/>
      <c r="H305" s="85"/>
      <c r="I305" s="85"/>
      <c r="J305" s="41"/>
    </row>
    <row r="306" spans="1:10" ht="19.5" customHeight="1">
      <c r="A306" s="43">
        <v>9</v>
      </c>
      <c r="B306" s="42" t="s">
        <v>330</v>
      </c>
      <c r="C306" s="85">
        <v>0</v>
      </c>
      <c r="D306" s="85"/>
      <c r="E306" s="85"/>
      <c r="F306" s="85"/>
      <c r="G306" s="85"/>
      <c r="H306" s="85"/>
      <c r="I306" s="85"/>
      <c r="J306" s="44"/>
    </row>
    <row r="307" spans="1:10" ht="23" customHeight="1">
      <c r="A307" s="84" t="s">
        <v>224</v>
      </c>
      <c r="B307" s="84"/>
      <c r="C307" s="84"/>
      <c r="D307" s="84"/>
      <c r="E307" s="84"/>
      <c r="F307" s="84"/>
      <c r="G307" s="84"/>
      <c r="H307" s="84"/>
      <c r="I307" s="84"/>
      <c r="J307" s="84"/>
    </row>
    <row r="308" spans="1:10" ht="34.049999999999997" customHeight="1">
      <c r="A308" s="77" t="s">
        <v>329</v>
      </c>
      <c r="B308" s="77"/>
      <c r="C308" s="77"/>
      <c r="D308" s="77"/>
      <c r="E308" s="77"/>
      <c r="F308" s="77"/>
      <c r="G308" s="77"/>
      <c r="H308" s="77"/>
      <c r="I308" s="77"/>
      <c r="J308" s="77"/>
    </row>
    <row r="309" spans="1:10" ht="35" customHeight="1">
      <c r="A309" s="76" t="s">
        <v>328</v>
      </c>
      <c r="B309" s="76"/>
      <c r="C309" s="76"/>
      <c r="D309" s="76"/>
      <c r="E309" s="76"/>
      <c r="F309" s="76"/>
      <c r="G309" s="76"/>
      <c r="H309" s="76"/>
      <c r="I309" s="76"/>
      <c r="J309" s="76"/>
    </row>
    <row r="310" spans="1:10" ht="34.049999999999997" customHeight="1">
      <c r="A310" s="77" t="s">
        <v>327</v>
      </c>
      <c r="B310" s="77"/>
      <c r="C310" s="77"/>
      <c r="D310" s="77"/>
      <c r="E310" s="77"/>
      <c r="F310" s="77"/>
      <c r="G310" s="77"/>
      <c r="H310" s="77"/>
      <c r="I310" s="77"/>
      <c r="J310" s="77"/>
    </row>
    <row r="311" spans="1:10" ht="23" customHeight="1">
      <c r="A311" s="76" t="s">
        <v>326</v>
      </c>
      <c r="B311" s="76"/>
      <c r="C311" s="76"/>
      <c r="D311" s="76"/>
      <c r="E311" s="76"/>
      <c r="F311" s="76"/>
      <c r="G311" s="76"/>
      <c r="H311" s="76"/>
      <c r="I311" s="76"/>
      <c r="J311" s="76"/>
    </row>
    <row r="312" spans="1:10" ht="28.5" customHeight="1">
      <c r="A312" s="77" t="s">
        <v>325</v>
      </c>
      <c r="B312" s="77"/>
      <c r="C312" s="77"/>
      <c r="D312" s="77"/>
      <c r="E312" s="77"/>
      <c r="F312" s="77"/>
      <c r="G312" s="77"/>
      <c r="H312" s="77"/>
      <c r="I312" s="77"/>
      <c r="J312" s="77"/>
    </row>
    <row r="313" spans="1:10" ht="299.55" customHeight="1">
      <c r="A313" s="76" t="s">
        <v>372</v>
      </c>
      <c r="B313" s="77"/>
      <c r="C313" s="77"/>
      <c r="D313" s="77"/>
      <c r="E313" s="77"/>
      <c r="F313" s="77"/>
      <c r="G313" s="77"/>
      <c r="H313" s="77"/>
      <c r="I313" s="77"/>
      <c r="J313" s="77"/>
    </row>
    <row r="314" spans="1:10" ht="11.25" customHeight="1">
      <c r="A314" s="78" t="s">
        <v>237</v>
      </c>
      <c r="B314" s="78"/>
      <c r="C314" s="78"/>
      <c r="D314" s="59" t="s">
        <v>244</v>
      </c>
      <c r="E314" s="58" t="s">
        <v>238</v>
      </c>
      <c r="F314" s="57" t="s">
        <v>236</v>
      </c>
      <c r="G314" s="56" t="s">
        <v>243</v>
      </c>
      <c r="H314" s="55" t="s">
        <v>242</v>
      </c>
      <c r="I314" s="54" t="s">
        <v>241</v>
      </c>
      <c r="J314" s="41"/>
    </row>
    <row r="315" spans="1:10" ht="11.25" customHeight="1">
      <c r="A315" s="75" t="s">
        <v>322</v>
      </c>
      <c r="B315" s="75"/>
      <c r="C315" s="75"/>
      <c r="D315" s="51" t="s">
        <v>240</v>
      </c>
      <c r="E315" s="50">
        <v>1</v>
      </c>
      <c r="F315" s="53">
        <v>5206</v>
      </c>
      <c r="G315" s="49">
        <v>0</v>
      </c>
      <c r="H315" s="60">
        <v>3123.250000001</v>
      </c>
      <c r="I315" s="47">
        <v>0.49304511600000001</v>
      </c>
      <c r="J315" s="41"/>
    </row>
    <row r="316" spans="1:10" ht="11.25" customHeight="1">
      <c r="A316" s="75" t="s">
        <v>323</v>
      </c>
      <c r="B316" s="75"/>
      <c r="C316" s="75"/>
      <c r="D316" s="51" t="s">
        <v>240</v>
      </c>
      <c r="E316" s="50">
        <v>8</v>
      </c>
      <c r="F316" s="53">
        <v>3209.2571978000001</v>
      </c>
      <c r="G316" s="53">
        <v>1037.9705058520001</v>
      </c>
      <c r="H316" s="60">
        <v>2863.7573735380001</v>
      </c>
      <c r="I316" s="47">
        <v>0.87388059399999996</v>
      </c>
      <c r="J316" s="41"/>
    </row>
    <row r="317" spans="1:10" ht="11.25" customHeight="1">
      <c r="A317" s="75" t="s">
        <v>324</v>
      </c>
      <c r="B317" s="75"/>
      <c r="C317" s="75"/>
      <c r="D317" s="51" t="s">
        <v>240</v>
      </c>
      <c r="E317" s="52">
        <v>10</v>
      </c>
      <c r="F317" s="53">
        <v>2841.8768262240001</v>
      </c>
      <c r="G317" s="53">
        <v>1293.209956784</v>
      </c>
      <c r="H317" s="60">
        <v>2799.9475108050001</v>
      </c>
      <c r="I317" s="47">
        <v>1</v>
      </c>
      <c r="J317" s="41"/>
    </row>
    <row r="318" spans="1:10" ht="11.25" customHeight="1">
      <c r="A318" s="75" t="s">
        <v>321</v>
      </c>
      <c r="B318" s="75"/>
      <c r="C318" s="75"/>
      <c r="D318" s="51" t="s">
        <v>239</v>
      </c>
      <c r="E318" s="52">
        <v>10</v>
      </c>
      <c r="F318" s="53">
        <v>2731.1381537840002</v>
      </c>
      <c r="G318" s="53">
        <v>1293.209956784</v>
      </c>
      <c r="H318" s="60">
        <v>2799.9475108050001</v>
      </c>
      <c r="I318" s="47">
        <v>0</v>
      </c>
      <c r="J318" s="41"/>
    </row>
    <row r="319" spans="1:10" ht="11.25" customHeight="1">
      <c r="A319" s="75" t="s">
        <v>315</v>
      </c>
      <c r="B319" s="75"/>
      <c r="C319" s="75"/>
      <c r="D319" s="51" t="s">
        <v>239</v>
      </c>
      <c r="E319" s="50">
        <v>7</v>
      </c>
      <c r="F319" s="53">
        <v>1504.147458726</v>
      </c>
      <c r="G319" s="49">
        <v>663.48638539199999</v>
      </c>
      <c r="H319" s="60">
        <v>2957.3784036530001</v>
      </c>
      <c r="I319" s="47">
        <v>0</v>
      </c>
      <c r="J319" s="41"/>
    </row>
    <row r="320" spans="1:10" ht="11.25" customHeight="1">
      <c r="A320" s="75" t="s">
        <v>316</v>
      </c>
      <c r="B320" s="75"/>
      <c r="C320" s="75"/>
      <c r="D320" s="51" t="s">
        <v>239</v>
      </c>
      <c r="E320" s="50">
        <v>6</v>
      </c>
      <c r="F320" s="53">
        <v>1047.83794362</v>
      </c>
      <c r="G320" s="49">
        <v>492.42221552000001</v>
      </c>
      <c r="H320" s="60">
        <v>3000.1444461209999</v>
      </c>
      <c r="I320" s="47">
        <v>0</v>
      </c>
      <c r="J320" s="41"/>
    </row>
    <row r="321" spans="1:10" ht="11.25" customHeight="1">
      <c r="A321" s="75" t="s">
        <v>320</v>
      </c>
      <c r="B321" s="75"/>
      <c r="C321" s="75"/>
      <c r="D321" s="51" t="s">
        <v>239</v>
      </c>
      <c r="E321" s="50">
        <v>5</v>
      </c>
      <c r="F321" s="49">
        <v>773.40442919500003</v>
      </c>
      <c r="G321" s="49">
        <v>381.34807055499999</v>
      </c>
      <c r="H321" s="60">
        <v>3027.9129823620001</v>
      </c>
      <c r="I321" s="47">
        <v>0</v>
      </c>
      <c r="J321" s="41"/>
    </row>
    <row r="322" spans="1:10" ht="11.25" customHeight="1">
      <c r="A322" s="75" t="s">
        <v>317</v>
      </c>
      <c r="B322" s="75"/>
      <c r="C322" s="75"/>
      <c r="D322" s="51" t="s">
        <v>239</v>
      </c>
      <c r="E322" s="50">
        <v>4</v>
      </c>
      <c r="F322" s="49">
        <v>429.18959375999998</v>
      </c>
      <c r="G322" s="49">
        <v>329.78439064000003</v>
      </c>
      <c r="H322" s="60">
        <v>3040.8039023410001</v>
      </c>
      <c r="I322" s="47">
        <v>0</v>
      </c>
      <c r="J322" s="41"/>
    </row>
    <row r="323" spans="1:10" ht="11.25" customHeight="1">
      <c r="A323" s="75" t="s">
        <v>318</v>
      </c>
      <c r="B323" s="75"/>
      <c r="C323" s="75"/>
      <c r="D323" s="51" t="s">
        <v>239</v>
      </c>
      <c r="E323" s="50">
        <v>3</v>
      </c>
      <c r="F323" s="49">
        <v>285.98772750000001</v>
      </c>
      <c r="G323" s="49">
        <v>298.43441419999999</v>
      </c>
      <c r="H323" s="60">
        <v>3048.6413964510002</v>
      </c>
      <c r="I323" s="47">
        <v>0</v>
      </c>
      <c r="J323" s="41"/>
    </row>
    <row r="324" spans="1:10" ht="11.25" customHeight="1">
      <c r="A324" s="75" t="s">
        <v>319</v>
      </c>
      <c r="B324" s="75"/>
      <c r="C324" s="75"/>
      <c r="D324" s="51" t="s">
        <v>239</v>
      </c>
      <c r="E324" s="50">
        <v>2</v>
      </c>
      <c r="F324" s="49">
        <v>76.200873990000005</v>
      </c>
      <c r="G324" s="49">
        <v>272.84585085999998</v>
      </c>
      <c r="H324" s="60">
        <v>3055.0385372860001</v>
      </c>
      <c r="I324" s="47">
        <v>0</v>
      </c>
      <c r="J324" s="41"/>
    </row>
    <row r="325" spans="1:10" ht="22.5" customHeight="1">
      <c r="A325" s="46" t="s">
        <v>238</v>
      </c>
      <c r="B325" s="87" t="s">
        <v>237</v>
      </c>
      <c r="C325" s="87"/>
      <c r="D325" s="88" t="s">
        <v>236</v>
      </c>
      <c r="E325" s="88"/>
      <c r="F325" s="88"/>
      <c r="G325" s="88"/>
      <c r="H325" s="88"/>
      <c r="I325" s="88"/>
      <c r="J325" s="44"/>
    </row>
    <row r="326" spans="1:10" ht="11.25" customHeight="1">
      <c r="A326" s="43">
        <v>1</v>
      </c>
      <c r="B326" s="89" t="s">
        <v>322</v>
      </c>
      <c r="C326" s="89"/>
      <c r="D326" s="81">
        <v>5206</v>
      </c>
      <c r="E326" s="81"/>
      <c r="F326" s="81"/>
      <c r="G326" s="81"/>
      <c r="H326" s="81"/>
      <c r="I326" s="81"/>
      <c r="J326" s="41"/>
    </row>
    <row r="327" spans="1:10" ht="11.25" customHeight="1">
      <c r="A327" s="43">
        <v>1</v>
      </c>
      <c r="B327" s="89" t="s">
        <v>323</v>
      </c>
      <c r="C327" s="89"/>
      <c r="D327" s="81">
        <v>2075</v>
      </c>
      <c r="E327" s="81"/>
      <c r="F327" s="81"/>
      <c r="G327" s="81"/>
      <c r="H327" s="81"/>
      <c r="I327" s="81"/>
      <c r="J327" s="41"/>
    </row>
    <row r="328" spans="1:10" ht="11.25" customHeight="1">
      <c r="A328" s="43">
        <v>1</v>
      </c>
      <c r="B328" s="89" t="s">
        <v>324</v>
      </c>
      <c r="C328" s="89"/>
      <c r="D328" s="81">
        <v>1429</v>
      </c>
      <c r="E328" s="81"/>
      <c r="F328" s="81"/>
      <c r="G328" s="81"/>
      <c r="H328" s="81"/>
      <c r="I328" s="81"/>
      <c r="J328" s="41"/>
    </row>
    <row r="329" spans="1:10" ht="11.25" customHeight="1">
      <c r="A329" s="43">
        <v>1</v>
      </c>
      <c r="B329" s="89" t="s">
        <v>315</v>
      </c>
      <c r="C329" s="89"/>
      <c r="D329" s="81">
        <v>1156</v>
      </c>
      <c r="E329" s="81"/>
      <c r="F329" s="81"/>
      <c r="G329" s="81"/>
      <c r="H329" s="81"/>
      <c r="I329" s="81"/>
      <c r="J329" s="41"/>
    </row>
    <row r="330" spans="1:10" ht="11.25" customHeight="1">
      <c r="A330" s="43">
        <v>1</v>
      </c>
      <c r="B330" s="89" t="s">
        <v>321</v>
      </c>
      <c r="C330" s="89"/>
      <c r="D330" s="90">
        <v>963</v>
      </c>
      <c r="E330" s="90"/>
      <c r="F330" s="90"/>
      <c r="G330" s="90"/>
      <c r="H330" s="90"/>
      <c r="I330" s="90"/>
      <c r="J330" s="41"/>
    </row>
    <row r="331" spans="1:10" ht="11.25" customHeight="1">
      <c r="A331" s="43">
        <v>1</v>
      </c>
      <c r="B331" s="89" t="s">
        <v>316</v>
      </c>
      <c r="C331" s="89"/>
      <c r="D331" s="90">
        <v>687</v>
      </c>
      <c r="E331" s="90"/>
      <c r="F331" s="90"/>
      <c r="G331" s="90"/>
      <c r="H331" s="90"/>
      <c r="I331" s="90"/>
      <c r="J331" s="41"/>
    </row>
    <row r="332" spans="1:10" ht="11.25" customHeight="1">
      <c r="A332" s="43">
        <v>1</v>
      </c>
      <c r="B332" s="89" t="s">
        <v>320</v>
      </c>
      <c r="C332" s="89"/>
      <c r="D332" s="90">
        <v>454</v>
      </c>
      <c r="E332" s="90"/>
      <c r="F332" s="90"/>
      <c r="G332" s="90"/>
      <c r="H332" s="90"/>
      <c r="I332" s="90"/>
      <c r="J332" s="41"/>
    </row>
    <row r="333" spans="1:10" ht="11.25" customHeight="1">
      <c r="A333" s="43">
        <v>1</v>
      </c>
      <c r="B333" s="89" t="s">
        <v>318</v>
      </c>
      <c r="C333" s="89"/>
      <c r="D333" s="90">
        <v>246</v>
      </c>
      <c r="E333" s="90"/>
      <c r="F333" s="90"/>
      <c r="G333" s="90"/>
      <c r="H333" s="90"/>
      <c r="I333" s="90"/>
      <c r="J333" s="41"/>
    </row>
    <row r="334" spans="1:10" ht="11.25" customHeight="1">
      <c r="A334" s="43">
        <v>1</v>
      </c>
      <c r="B334" s="89" t="s">
        <v>317</v>
      </c>
      <c r="C334" s="89"/>
      <c r="D334" s="90">
        <v>206</v>
      </c>
      <c r="E334" s="90"/>
      <c r="F334" s="90"/>
      <c r="G334" s="90"/>
      <c r="H334" s="90"/>
      <c r="I334" s="90"/>
      <c r="J334" s="41"/>
    </row>
    <row r="335" spans="1:10" ht="11.25" customHeight="1">
      <c r="A335" s="43">
        <v>1</v>
      </c>
      <c r="B335" s="89" t="s">
        <v>319</v>
      </c>
      <c r="C335" s="89"/>
      <c r="D335" s="80">
        <v>71</v>
      </c>
      <c r="E335" s="80"/>
      <c r="F335" s="80"/>
      <c r="G335" s="80"/>
      <c r="H335" s="80"/>
      <c r="I335" s="80"/>
      <c r="J335" s="41"/>
    </row>
    <row r="336" spans="1:10" ht="11.25" customHeight="1">
      <c r="A336" s="43">
        <v>2</v>
      </c>
      <c r="B336" s="89" t="s">
        <v>322</v>
      </c>
      <c r="C336" s="89"/>
      <c r="D336" s="81">
        <v>3123.2500006199998</v>
      </c>
      <c r="E336" s="81"/>
      <c r="F336" s="81"/>
      <c r="G336" s="81"/>
      <c r="H336" s="81"/>
      <c r="I336" s="81"/>
      <c r="J336" s="41"/>
    </row>
    <row r="337" spans="1:10" ht="11.25" customHeight="1">
      <c r="A337" s="43">
        <v>2</v>
      </c>
      <c r="B337" s="89" t="s">
        <v>323</v>
      </c>
      <c r="C337" s="89"/>
      <c r="D337" s="81">
        <v>2137.01042065</v>
      </c>
      <c r="E337" s="81"/>
      <c r="F337" s="81"/>
      <c r="G337" s="81"/>
      <c r="H337" s="81"/>
      <c r="I337" s="81"/>
      <c r="J337" s="41"/>
    </row>
    <row r="338" spans="1:10" ht="11.25" customHeight="1">
      <c r="A338" s="43">
        <v>2</v>
      </c>
      <c r="B338" s="89" t="s">
        <v>324</v>
      </c>
      <c r="C338" s="89"/>
      <c r="D338" s="81">
        <v>1783.0594985499999</v>
      </c>
      <c r="E338" s="81"/>
      <c r="F338" s="81"/>
      <c r="G338" s="81"/>
      <c r="H338" s="81"/>
      <c r="I338" s="81"/>
      <c r="J338" s="41"/>
    </row>
    <row r="339" spans="1:10" ht="11.25" customHeight="1">
      <c r="A339" s="43">
        <v>2</v>
      </c>
      <c r="B339" s="89" t="s">
        <v>321</v>
      </c>
      <c r="C339" s="89"/>
      <c r="D339" s="81">
        <v>1752.3326447899999</v>
      </c>
      <c r="E339" s="81"/>
      <c r="F339" s="81"/>
      <c r="G339" s="81"/>
      <c r="H339" s="81"/>
      <c r="I339" s="81"/>
      <c r="J339" s="41"/>
    </row>
    <row r="340" spans="1:10" ht="11.25" customHeight="1">
      <c r="A340" s="43">
        <v>2</v>
      </c>
      <c r="B340" s="89" t="s">
        <v>315</v>
      </c>
      <c r="C340" s="89"/>
      <c r="D340" s="81">
        <v>1192.4061179299999</v>
      </c>
      <c r="E340" s="81"/>
      <c r="F340" s="81"/>
      <c r="G340" s="81"/>
      <c r="H340" s="81"/>
      <c r="I340" s="81"/>
      <c r="J340" s="41"/>
    </row>
    <row r="341" spans="1:10" ht="11.25" customHeight="1">
      <c r="A341" s="43">
        <v>2</v>
      </c>
      <c r="B341" s="89" t="s">
        <v>316</v>
      </c>
      <c r="C341" s="89"/>
      <c r="D341" s="90">
        <v>814.22137913999995</v>
      </c>
      <c r="E341" s="90"/>
      <c r="F341" s="90"/>
      <c r="G341" s="90"/>
      <c r="H341" s="90"/>
      <c r="I341" s="90"/>
      <c r="J341" s="41"/>
    </row>
    <row r="342" spans="1:10" ht="11.25" customHeight="1">
      <c r="A342" s="43">
        <v>2</v>
      </c>
      <c r="B342" s="89" t="s">
        <v>320</v>
      </c>
      <c r="C342" s="89"/>
      <c r="D342" s="90">
        <v>680.43805218</v>
      </c>
      <c r="E342" s="90"/>
      <c r="F342" s="90"/>
      <c r="G342" s="90"/>
      <c r="H342" s="90"/>
      <c r="I342" s="90"/>
      <c r="J342" s="41"/>
    </row>
    <row r="343" spans="1:10" ht="11.25" customHeight="1">
      <c r="A343" s="43">
        <v>2</v>
      </c>
      <c r="B343" s="89" t="s">
        <v>317</v>
      </c>
      <c r="C343" s="89"/>
      <c r="D343" s="90">
        <v>387.23045518999999</v>
      </c>
      <c r="E343" s="90"/>
      <c r="F343" s="90"/>
      <c r="G343" s="90"/>
      <c r="H343" s="90"/>
      <c r="I343" s="90"/>
      <c r="J343" s="41"/>
    </row>
    <row r="344" spans="1:10" ht="11.25" customHeight="1">
      <c r="A344" s="43">
        <v>2</v>
      </c>
      <c r="B344" s="89" t="s">
        <v>318</v>
      </c>
      <c r="C344" s="89"/>
      <c r="D344" s="90">
        <v>274.00470610000002</v>
      </c>
      <c r="E344" s="90"/>
      <c r="F344" s="90"/>
      <c r="G344" s="90"/>
      <c r="H344" s="90"/>
      <c r="I344" s="90"/>
      <c r="J344" s="41"/>
    </row>
    <row r="345" spans="1:10" ht="11.25" customHeight="1">
      <c r="A345" s="43">
        <v>2</v>
      </c>
      <c r="B345" s="89" t="s">
        <v>319</v>
      </c>
      <c r="C345" s="89"/>
      <c r="D345" s="80">
        <v>76.200873990000005</v>
      </c>
      <c r="E345" s="80"/>
      <c r="F345" s="80"/>
      <c r="G345" s="80"/>
      <c r="H345" s="80"/>
      <c r="I345" s="80"/>
      <c r="J345" s="41"/>
    </row>
    <row r="346" spans="1:10" ht="11.25" customHeight="1">
      <c r="A346" s="43">
        <v>3</v>
      </c>
      <c r="B346" s="89" t="s">
        <v>322</v>
      </c>
      <c r="C346" s="89"/>
      <c r="D346" s="81">
        <v>3059.7331841999999</v>
      </c>
      <c r="E346" s="81"/>
      <c r="F346" s="81"/>
      <c r="G346" s="81"/>
      <c r="H346" s="81"/>
      <c r="I346" s="81"/>
      <c r="J346" s="41"/>
    </row>
    <row r="347" spans="1:10" ht="11.25" customHeight="1">
      <c r="A347" s="43">
        <v>3</v>
      </c>
      <c r="B347" s="89" t="s">
        <v>323</v>
      </c>
      <c r="C347" s="89"/>
      <c r="D347" s="81">
        <v>2150.4544731999999</v>
      </c>
      <c r="E347" s="81"/>
      <c r="F347" s="81"/>
      <c r="G347" s="81"/>
      <c r="H347" s="81"/>
      <c r="I347" s="81"/>
      <c r="J347" s="41"/>
    </row>
    <row r="348" spans="1:10" ht="11.25" customHeight="1">
      <c r="A348" s="43">
        <v>3</v>
      </c>
      <c r="B348" s="89" t="s">
        <v>324</v>
      </c>
      <c r="C348" s="89"/>
      <c r="D348" s="81">
        <v>1799.0683541999999</v>
      </c>
      <c r="E348" s="81"/>
      <c r="F348" s="81"/>
      <c r="G348" s="81"/>
      <c r="H348" s="81"/>
      <c r="I348" s="81"/>
      <c r="J348" s="41"/>
    </row>
    <row r="349" spans="1:10" ht="11.25" customHeight="1">
      <c r="A349" s="43">
        <v>3</v>
      </c>
      <c r="B349" s="89" t="s">
        <v>321</v>
      </c>
      <c r="C349" s="89"/>
      <c r="D349" s="81">
        <v>1783.5969878000001</v>
      </c>
      <c r="E349" s="81"/>
      <c r="F349" s="81"/>
      <c r="G349" s="81"/>
      <c r="H349" s="81"/>
      <c r="I349" s="81"/>
      <c r="J349" s="41"/>
    </row>
    <row r="350" spans="1:10" ht="11.25" customHeight="1">
      <c r="A350" s="43">
        <v>3</v>
      </c>
      <c r="B350" s="89" t="s">
        <v>315</v>
      </c>
      <c r="C350" s="89"/>
      <c r="D350" s="81">
        <v>1205.4247820999999</v>
      </c>
      <c r="E350" s="81"/>
      <c r="F350" s="81"/>
      <c r="G350" s="81"/>
      <c r="H350" s="81"/>
      <c r="I350" s="81"/>
      <c r="J350" s="41"/>
    </row>
    <row r="351" spans="1:10" ht="11.25" customHeight="1">
      <c r="A351" s="43">
        <v>3</v>
      </c>
      <c r="B351" s="89" t="s">
        <v>316</v>
      </c>
      <c r="C351" s="89"/>
      <c r="D351" s="90">
        <v>820.21430399999997</v>
      </c>
      <c r="E351" s="90"/>
      <c r="F351" s="90"/>
      <c r="G351" s="90"/>
      <c r="H351" s="90"/>
      <c r="I351" s="90"/>
      <c r="J351" s="41"/>
    </row>
    <row r="352" spans="1:10" ht="11.25" customHeight="1">
      <c r="A352" s="43">
        <v>3</v>
      </c>
      <c r="B352" s="89" t="s">
        <v>320</v>
      </c>
      <c r="C352" s="89"/>
      <c r="D352" s="90">
        <v>690.26721989999999</v>
      </c>
      <c r="E352" s="90"/>
      <c r="F352" s="90"/>
      <c r="G352" s="90"/>
      <c r="H352" s="90"/>
      <c r="I352" s="90"/>
      <c r="J352" s="41"/>
    </row>
    <row r="353" spans="1:10" ht="11.25" customHeight="1">
      <c r="A353" s="43">
        <v>3</v>
      </c>
      <c r="B353" s="89" t="s">
        <v>317</v>
      </c>
      <c r="C353" s="89"/>
      <c r="D353" s="90">
        <v>399.81855289999999</v>
      </c>
      <c r="E353" s="90"/>
      <c r="F353" s="90"/>
      <c r="G353" s="90"/>
      <c r="H353" s="90"/>
      <c r="I353" s="90"/>
      <c r="J353" s="41"/>
    </row>
    <row r="354" spans="1:10" ht="11.25" customHeight="1">
      <c r="A354" s="43">
        <v>3</v>
      </c>
      <c r="B354" s="89" t="s">
        <v>318</v>
      </c>
      <c r="C354" s="89"/>
      <c r="D354" s="90">
        <v>285.98772750000001</v>
      </c>
      <c r="E354" s="90"/>
      <c r="F354" s="90"/>
      <c r="G354" s="90"/>
      <c r="H354" s="90"/>
      <c r="I354" s="90"/>
      <c r="J354" s="41"/>
    </row>
    <row r="355" spans="1:10" ht="11.25" customHeight="1">
      <c r="A355" s="43">
        <v>3</v>
      </c>
      <c r="B355" s="89" t="s">
        <v>319</v>
      </c>
      <c r="C355" s="89"/>
      <c r="D355" s="80">
        <v>0</v>
      </c>
      <c r="E355" s="80"/>
      <c r="F355" s="80"/>
      <c r="G355" s="80"/>
      <c r="H355" s="80"/>
      <c r="I355" s="80"/>
      <c r="J355" s="41"/>
    </row>
    <row r="356" spans="1:10" ht="11.25" customHeight="1">
      <c r="A356" s="43">
        <v>4</v>
      </c>
      <c r="B356" s="89" t="s">
        <v>322</v>
      </c>
      <c r="C356" s="89"/>
      <c r="D356" s="81">
        <v>3060.9201631199999</v>
      </c>
      <c r="E356" s="81"/>
      <c r="F356" s="81"/>
      <c r="G356" s="81"/>
      <c r="H356" s="81"/>
      <c r="I356" s="81"/>
      <c r="J356" s="41"/>
    </row>
    <row r="357" spans="1:10" ht="11.25" customHeight="1">
      <c r="A357" s="43">
        <v>4</v>
      </c>
      <c r="B357" s="89" t="s">
        <v>323</v>
      </c>
      <c r="C357" s="89"/>
      <c r="D357" s="81">
        <v>2180.616927264</v>
      </c>
      <c r="E357" s="81"/>
      <c r="F357" s="81"/>
      <c r="G357" s="81"/>
      <c r="H357" s="81"/>
      <c r="I357" s="81"/>
      <c r="J357" s="41"/>
    </row>
    <row r="358" spans="1:10" ht="11.25" customHeight="1">
      <c r="A358" s="43">
        <v>4</v>
      </c>
      <c r="B358" s="89" t="s">
        <v>324</v>
      </c>
      <c r="C358" s="89"/>
      <c r="D358" s="81">
        <v>1843.8437922400001</v>
      </c>
      <c r="E358" s="81"/>
      <c r="F358" s="81"/>
      <c r="G358" s="81"/>
      <c r="H358" s="81"/>
      <c r="I358" s="81"/>
      <c r="J358" s="41"/>
    </row>
    <row r="359" spans="1:10" ht="11.25" customHeight="1">
      <c r="A359" s="43">
        <v>4</v>
      </c>
      <c r="B359" s="89" t="s">
        <v>321</v>
      </c>
      <c r="C359" s="89"/>
      <c r="D359" s="81">
        <v>1807.36456088</v>
      </c>
      <c r="E359" s="81"/>
      <c r="F359" s="81"/>
      <c r="G359" s="81"/>
      <c r="H359" s="81"/>
      <c r="I359" s="81"/>
      <c r="J359" s="41"/>
    </row>
    <row r="360" spans="1:10" ht="11.25" customHeight="1">
      <c r="A360" s="43">
        <v>4</v>
      </c>
      <c r="B360" s="89" t="s">
        <v>315</v>
      </c>
      <c r="C360" s="89"/>
      <c r="D360" s="81">
        <v>1275.775591824</v>
      </c>
      <c r="E360" s="81"/>
      <c r="F360" s="81"/>
      <c r="G360" s="81"/>
      <c r="H360" s="81"/>
      <c r="I360" s="81"/>
      <c r="J360" s="41"/>
    </row>
    <row r="361" spans="1:10" ht="11.25" customHeight="1">
      <c r="A361" s="43">
        <v>4</v>
      </c>
      <c r="B361" s="89" t="s">
        <v>316</v>
      </c>
      <c r="C361" s="89"/>
      <c r="D361" s="90">
        <v>852.63271563199999</v>
      </c>
      <c r="E361" s="90"/>
      <c r="F361" s="90"/>
      <c r="G361" s="90"/>
      <c r="H361" s="90"/>
      <c r="I361" s="90"/>
      <c r="J361" s="41"/>
    </row>
    <row r="362" spans="1:10" ht="11.25" customHeight="1">
      <c r="A362" s="43">
        <v>4</v>
      </c>
      <c r="B362" s="89" t="s">
        <v>320</v>
      </c>
      <c r="C362" s="89"/>
      <c r="D362" s="90">
        <v>712.87226464000003</v>
      </c>
      <c r="E362" s="90"/>
      <c r="F362" s="90"/>
      <c r="G362" s="90"/>
      <c r="H362" s="90"/>
      <c r="I362" s="90"/>
      <c r="J362" s="41"/>
    </row>
    <row r="363" spans="1:10" ht="11.25" customHeight="1">
      <c r="A363" s="43">
        <v>4</v>
      </c>
      <c r="B363" s="89" t="s">
        <v>317</v>
      </c>
      <c r="C363" s="89"/>
      <c r="D363" s="90">
        <v>429.18959375999998</v>
      </c>
      <c r="E363" s="90"/>
      <c r="F363" s="90"/>
      <c r="G363" s="90"/>
      <c r="H363" s="90"/>
      <c r="I363" s="90"/>
      <c r="J363" s="41"/>
    </row>
    <row r="364" spans="1:10" ht="11.25" customHeight="1">
      <c r="A364" s="43">
        <v>4</v>
      </c>
      <c r="B364" s="89" t="s">
        <v>319</v>
      </c>
      <c r="C364" s="89"/>
      <c r="D364" s="80">
        <v>0</v>
      </c>
      <c r="E364" s="80"/>
      <c r="F364" s="80"/>
      <c r="G364" s="80"/>
      <c r="H364" s="80"/>
      <c r="I364" s="80"/>
      <c r="J364" s="41"/>
    </row>
    <row r="365" spans="1:10" ht="11.25" customHeight="1">
      <c r="A365" s="43">
        <v>4</v>
      </c>
      <c r="B365" s="89" t="s">
        <v>318</v>
      </c>
      <c r="C365" s="89"/>
      <c r="D365" s="80">
        <v>0</v>
      </c>
      <c r="E365" s="80"/>
      <c r="F365" s="80"/>
      <c r="G365" s="80"/>
      <c r="H365" s="80"/>
      <c r="I365" s="80"/>
      <c r="J365" s="41"/>
    </row>
    <row r="366" spans="1:10" ht="11.25" customHeight="1">
      <c r="A366" s="43">
        <v>5</v>
      </c>
      <c r="B366" s="89" t="s">
        <v>322</v>
      </c>
      <c r="C366" s="89"/>
      <c r="D366" s="81">
        <v>3094.2430578150002</v>
      </c>
      <c r="E366" s="81"/>
      <c r="F366" s="81"/>
      <c r="G366" s="81"/>
      <c r="H366" s="81"/>
      <c r="I366" s="81"/>
      <c r="J366" s="41"/>
    </row>
    <row r="367" spans="1:10" ht="11.25" customHeight="1">
      <c r="A367" s="43">
        <v>5</v>
      </c>
      <c r="B367" s="89" t="s">
        <v>323</v>
      </c>
      <c r="C367" s="89"/>
      <c r="D367" s="89"/>
      <c r="E367" s="89"/>
      <c r="F367" s="86">
        <v>2193.2537413499999</v>
      </c>
      <c r="G367" s="86"/>
      <c r="H367" s="86"/>
      <c r="I367" s="86"/>
      <c r="J367" s="41"/>
    </row>
    <row r="368" spans="1:10" ht="11.25" customHeight="1">
      <c r="A368" s="43">
        <v>5</v>
      </c>
      <c r="B368" s="89" t="s">
        <v>321</v>
      </c>
      <c r="C368" s="89"/>
      <c r="D368" s="89"/>
      <c r="E368" s="89"/>
      <c r="F368" s="86">
        <v>1942.3943358250001</v>
      </c>
      <c r="G368" s="86"/>
      <c r="H368" s="86"/>
      <c r="I368" s="86"/>
      <c r="J368" s="41"/>
    </row>
    <row r="369" spans="1:10" ht="11.25" customHeight="1">
      <c r="A369" s="43">
        <v>5</v>
      </c>
      <c r="B369" s="89" t="s">
        <v>324</v>
      </c>
      <c r="C369" s="89"/>
      <c r="D369" s="89"/>
      <c r="E369" s="89"/>
      <c r="F369" s="86">
        <v>1907.10997914</v>
      </c>
      <c r="G369" s="86"/>
      <c r="H369" s="86"/>
      <c r="I369" s="86"/>
      <c r="J369" s="41"/>
    </row>
    <row r="370" spans="1:10" ht="11.25" customHeight="1">
      <c r="A370" s="43">
        <v>5</v>
      </c>
      <c r="B370" s="89" t="s">
        <v>315</v>
      </c>
      <c r="C370" s="89"/>
      <c r="D370" s="89"/>
      <c r="E370" s="89"/>
      <c r="F370" s="86">
        <v>1299.7819206700001</v>
      </c>
      <c r="G370" s="86"/>
      <c r="H370" s="86"/>
      <c r="I370" s="86"/>
      <c r="J370" s="41"/>
    </row>
    <row r="371" spans="1:10" ht="11.25" customHeight="1">
      <c r="A371" s="43">
        <v>5</v>
      </c>
      <c r="B371" s="89" t="s">
        <v>316</v>
      </c>
      <c r="C371" s="89"/>
      <c r="D371" s="89"/>
      <c r="E371" s="89"/>
      <c r="F371" s="85">
        <v>901.46446545000003</v>
      </c>
      <c r="G371" s="85"/>
      <c r="H371" s="85"/>
      <c r="I371" s="85"/>
      <c r="J371" s="41"/>
    </row>
    <row r="372" spans="1:10" ht="11.25" customHeight="1">
      <c r="A372" s="43">
        <v>5</v>
      </c>
      <c r="B372" s="89" t="s">
        <v>320</v>
      </c>
      <c r="C372" s="89"/>
      <c r="D372" s="89"/>
      <c r="E372" s="89"/>
      <c r="F372" s="85">
        <v>773.40442919500003</v>
      </c>
      <c r="G372" s="85"/>
      <c r="H372" s="85"/>
      <c r="I372" s="85"/>
      <c r="J372" s="41"/>
    </row>
    <row r="373" spans="1:10" ht="11.25" customHeight="1">
      <c r="A373" s="43">
        <v>5</v>
      </c>
      <c r="B373" s="89" t="s">
        <v>319</v>
      </c>
      <c r="C373" s="89"/>
      <c r="D373" s="89"/>
      <c r="E373" s="89"/>
      <c r="F373" s="85">
        <v>0</v>
      </c>
      <c r="G373" s="85"/>
      <c r="H373" s="85"/>
      <c r="I373" s="85"/>
      <c r="J373" s="41"/>
    </row>
    <row r="374" spans="1:10" ht="11.25" customHeight="1">
      <c r="A374" s="43">
        <v>5</v>
      </c>
      <c r="B374" s="89" t="s">
        <v>318</v>
      </c>
      <c r="C374" s="89"/>
      <c r="D374" s="89"/>
      <c r="E374" s="89"/>
      <c r="F374" s="85">
        <v>0</v>
      </c>
      <c r="G374" s="85"/>
      <c r="H374" s="85"/>
      <c r="I374" s="85"/>
      <c r="J374" s="41"/>
    </row>
    <row r="375" spans="1:10" ht="11.25" customHeight="1">
      <c r="A375" s="43">
        <v>5</v>
      </c>
      <c r="B375" s="89" t="s">
        <v>317</v>
      </c>
      <c r="C375" s="89"/>
      <c r="D375" s="89"/>
      <c r="E375" s="89"/>
      <c r="F375" s="85">
        <v>0</v>
      </c>
      <c r="G375" s="85"/>
      <c r="H375" s="85"/>
      <c r="I375" s="85"/>
      <c r="J375" s="41"/>
    </row>
    <row r="376" spans="1:10" ht="11.25" customHeight="1">
      <c r="A376" s="43">
        <v>6</v>
      </c>
      <c r="B376" s="89" t="s">
        <v>322</v>
      </c>
      <c r="C376" s="89"/>
      <c r="D376" s="89"/>
      <c r="E376" s="89"/>
      <c r="F376" s="86">
        <v>3109.1954249</v>
      </c>
      <c r="G376" s="86"/>
      <c r="H376" s="86"/>
      <c r="I376" s="86"/>
      <c r="J376" s="41"/>
    </row>
    <row r="377" spans="1:10" ht="11.25" customHeight="1">
      <c r="A377" s="43">
        <v>6</v>
      </c>
      <c r="B377" s="89" t="s">
        <v>323</v>
      </c>
      <c r="C377" s="89"/>
      <c r="D377" s="89"/>
      <c r="E377" s="89"/>
      <c r="F377" s="86">
        <v>2245.88667467</v>
      </c>
      <c r="G377" s="86"/>
      <c r="H377" s="86"/>
      <c r="I377" s="86"/>
      <c r="J377" s="41"/>
    </row>
    <row r="378" spans="1:10" ht="11.25" customHeight="1">
      <c r="A378" s="43">
        <v>6</v>
      </c>
      <c r="B378" s="89" t="s">
        <v>321</v>
      </c>
      <c r="C378" s="89"/>
      <c r="D378" s="89"/>
      <c r="E378" s="89"/>
      <c r="F378" s="86">
        <v>2168.7258296300001</v>
      </c>
      <c r="G378" s="86"/>
      <c r="H378" s="86"/>
      <c r="I378" s="86"/>
      <c r="J378" s="41"/>
    </row>
    <row r="379" spans="1:10" ht="11.25" customHeight="1">
      <c r="A379" s="43">
        <v>6</v>
      </c>
      <c r="B379" s="89" t="s">
        <v>324</v>
      </c>
      <c r="C379" s="89"/>
      <c r="D379" s="89"/>
      <c r="E379" s="89"/>
      <c r="F379" s="86">
        <v>2083.1198127500002</v>
      </c>
      <c r="G379" s="86"/>
      <c r="H379" s="86"/>
      <c r="I379" s="86"/>
      <c r="J379" s="41"/>
    </row>
    <row r="380" spans="1:10" ht="11.25" customHeight="1">
      <c r="A380" s="43">
        <v>6</v>
      </c>
      <c r="B380" s="89" t="s">
        <v>315</v>
      </c>
      <c r="C380" s="89"/>
      <c r="D380" s="89"/>
      <c r="E380" s="89"/>
      <c r="F380" s="86">
        <v>1345.81209891</v>
      </c>
      <c r="G380" s="86"/>
      <c r="H380" s="86"/>
      <c r="I380" s="86"/>
      <c r="J380" s="41"/>
    </row>
    <row r="381" spans="1:10" ht="11.25" customHeight="1">
      <c r="A381" s="43">
        <v>6</v>
      </c>
      <c r="B381" s="89" t="s">
        <v>316</v>
      </c>
      <c r="C381" s="89"/>
      <c r="D381" s="89"/>
      <c r="E381" s="89"/>
      <c r="F381" s="86">
        <v>1047.83794362</v>
      </c>
      <c r="G381" s="86"/>
      <c r="H381" s="86"/>
      <c r="I381" s="86"/>
      <c r="J381" s="41"/>
    </row>
    <row r="382" spans="1:10" ht="11.25" customHeight="1">
      <c r="A382" s="43">
        <v>6</v>
      </c>
      <c r="B382" s="89" t="s">
        <v>320</v>
      </c>
      <c r="C382" s="89"/>
      <c r="D382" s="89"/>
      <c r="E382" s="89"/>
      <c r="F382" s="85">
        <v>0</v>
      </c>
      <c r="G382" s="85"/>
      <c r="H382" s="85"/>
      <c r="I382" s="85"/>
      <c r="J382" s="41"/>
    </row>
    <row r="383" spans="1:10" ht="11.25" customHeight="1">
      <c r="A383" s="43">
        <v>6</v>
      </c>
      <c r="B383" s="89" t="s">
        <v>319</v>
      </c>
      <c r="C383" s="89"/>
      <c r="D383" s="89"/>
      <c r="E383" s="89"/>
      <c r="F383" s="85">
        <v>0</v>
      </c>
      <c r="G383" s="85"/>
      <c r="H383" s="85"/>
      <c r="I383" s="85"/>
      <c r="J383" s="41"/>
    </row>
    <row r="384" spans="1:10" ht="11.25" customHeight="1">
      <c r="A384" s="43">
        <v>6</v>
      </c>
      <c r="B384" s="89" t="s">
        <v>318</v>
      </c>
      <c r="C384" s="89"/>
      <c r="D384" s="89"/>
      <c r="E384" s="89"/>
      <c r="F384" s="85">
        <v>0</v>
      </c>
      <c r="G384" s="85"/>
      <c r="H384" s="85"/>
      <c r="I384" s="85"/>
      <c r="J384" s="41"/>
    </row>
    <row r="385" spans="1:10" ht="11.25" customHeight="1">
      <c r="A385" s="43">
        <v>6</v>
      </c>
      <c r="B385" s="89" t="s">
        <v>317</v>
      </c>
      <c r="C385" s="89"/>
      <c r="D385" s="89"/>
      <c r="E385" s="89"/>
      <c r="F385" s="85">
        <v>0</v>
      </c>
      <c r="G385" s="85"/>
      <c r="H385" s="85"/>
      <c r="I385" s="85"/>
      <c r="J385" s="41"/>
    </row>
    <row r="386" spans="1:10" ht="11.25" customHeight="1">
      <c r="A386" s="43">
        <v>7</v>
      </c>
      <c r="B386" s="89" t="s">
        <v>322</v>
      </c>
      <c r="C386" s="89"/>
      <c r="D386" s="89"/>
      <c r="E386" s="89"/>
      <c r="F386" s="86">
        <v>3065.4126739530002</v>
      </c>
      <c r="G386" s="86"/>
      <c r="H386" s="86"/>
      <c r="I386" s="86"/>
      <c r="J386" s="41"/>
    </row>
    <row r="387" spans="1:10" ht="11.25" customHeight="1">
      <c r="A387" s="43">
        <v>7</v>
      </c>
      <c r="B387" s="89" t="s">
        <v>324</v>
      </c>
      <c r="C387" s="89"/>
      <c r="D387" s="89"/>
      <c r="E387" s="89"/>
      <c r="F387" s="86">
        <v>2441.1411789869999</v>
      </c>
      <c r="G387" s="86"/>
      <c r="H387" s="86"/>
      <c r="I387" s="86"/>
      <c r="J387" s="41"/>
    </row>
    <row r="388" spans="1:10" ht="11.25" customHeight="1">
      <c r="A388" s="43">
        <v>7</v>
      </c>
      <c r="B388" s="89" t="s">
        <v>323</v>
      </c>
      <c r="C388" s="89"/>
      <c r="D388" s="89"/>
      <c r="E388" s="89"/>
      <c r="F388" s="86">
        <v>2438.236463319</v>
      </c>
      <c r="G388" s="86"/>
      <c r="H388" s="86"/>
      <c r="I388" s="86"/>
      <c r="J388" s="41"/>
    </row>
    <row r="389" spans="1:10" ht="11.25" customHeight="1">
      <c r="A389" s="43">
        <v>7</v>
      </c>
      <c r="B389" s="89" t="s">
        <v>321</v>
      </c>
      <c r="C389" s="89"/>
      <c r="D389" s="89"/>
      <c r="E389" s="89"/>
      <c r="F389" s="86">
        <v>2380.5758396229999</v>
      </c>
      <c r="G389" s="86"/>
      <c r="H389" s="86"/>
      <c r="I389" s="86"/>
      <c r="J389" s="41"/>
    </row>
    <row r="390" spans="1:10" ht="11.25" customHeight="1">
      <c r="A390" s="43">
        <v>7</v>
      </c>
      <c r="B390" s="89" t="s">
        <v>315</v>
      </c>
      <c r="C390" s="89"/>
      <c r="D390" s="89"/>
      <c r="E390" s="89"/>
      <c r="F390" s="86">
        <v>1504.147458726</v>
      </c>
      <c r="G390" s="86"/>
      <c r="H390" s="86"/>
      <c r="I390" s="86"/>
      <c r="J390" s="41"/>
    </row>
    <row r="391" spans="1:10" ht="11.25" customHeight="1">
      <c r="A391" s="43">
        <v>7</v>
      </c>
      <c r="B391" s="89" t="s">
        <v>320</v>
      </c>
      <c r="C391" s="89"/>
      <c r="D391" s="89"/>
      <c r="E391" s="89"/>
      <c r="F391" s="85">
        <v>0</v>
      </c>
      <c r="G391" s="85"/>
      <c r="H391" s="85"/>
      <c r="I391" s="85"/>
      <c r="J391" s="41"/>
    </row>
    <row r="392" spans="1:10" ht="11.25" customHeight="1">
      <c r="A392" s="43">
        <v>7</v>
      </c>
      <c r="B392" s="89" t="s">
        <v>319</v>
      </c>
      <c r="C392" s="89"/>
      <c r="D392" s="89"/>
      <c r="E392" s="89"/>
      <c r="F392" s="85">
        <v>0</v>
      </c>
      <c r="G392" s="85"/>
      <c r="H392" s="85"/>
      <c r="I392" s="85"/>
      <c r="J392" s="41"/>
    </row>
    <row r="393" spans="1:10" ht="11.25" customHeight="1">
      <c r="A393" s="43">
        <v>7</v>
      </c>
      <c r="B393" s="89" t="s">
        <v>318</v>
      </c>
      <c r="C393" s="89"/>
      <c r="D393" s="89"/>
      <c r="E393" s="89"/>
      <c r="F393" s="85">
        <v>0</v>
      </c>
      <c r="G393" s="85"/>
      <c r="H393" s="85"/>
      <c r="I393" s="85"/>
      <c r="J393" s="41"/>
    </row>
    <row r="394" spans="1:10" ht="11.25" customHeight="1">
      <c r="A394" s="43">
        <v>7</v>
      </c>
      <c r="B394" s="89" t="s">
        <v>317</v>
      </c>
      <c r="C394" s="89"/>
      <c r="D394" s="89"/>
      <c r="E394" s="89"/>
      <c r="F394" s="85">
        <v>0</v>
      </c>
      <c r="G394" s="85"/>
      <c r="H394" s="85"/>
      <c r="I394" s="85"/>
      <c r="J394" s="41"/>
    </row>
    <row r="395" spans="1:10" ht="11.25" customHeight="1">
      <c r="A395" s="43">
        <v>7</v>
      </c>
      <c r="B395" s="89" t="s">
        <v>316</v>
      </c>
      <c r="C395" s="89"/>
      <c r="D395" s="89"/>
      <c r="E395" s="89"/>
      <c r="F395" s="85">
        <v>0</v>
      </c>
      <c r="G395" s="85"/>
      <c r="H395" s="85"/>
      <c r="I395" s="85"/>
      <c r="J395" s="41"/>
    </row>
    <row r="396" spans="1:10" ht="11.25" customHeight="1">
      <c r="A396" s="43">
        <v>8</v>
      </c>
      <c r="B396" s="89" t="s">
        <v>323</v>
      </c>
      <c r="C396" s="89"/>
      <c r="D396" s="89"/>
      <c r="E396" s="89"/>
      <c r="F396" s="86">
        <v>3209.2571978000001</v>
      </c>
      <c r="G396" s="86"/>
      <c r="H396" s="86"/>
      <c r="I396" s="86"/>
      <c r="J396" s="41"/>
    </row>
    <row r="397" spans="1:10" ht="11.25" customHeight="1">
      <c r="A397" s="43">
        <v>8</v>
      </c>
      <c r="B397" s="89" t="s">
        <v>322</v>
      </c>
      <c r="C397" s="89"/>
      <c r="D397" s="89"/>
      <c r="E397" s="89"/>
      <c r="F397" s="86">
        <v>3006.0595309939999</v>
      </c>
      <c r="G397" s="86"/>
      <c r="H397" s="86"/>
      <c r="I397" s="86"/>
      <c r="J397" s="41"/>
    </row>
    <row r="398" spans="1:10" ht="11.25" customHeight="1">
      <c r="A398" s="43">
        <v>8</v>
      </c>
      <c r="B398" s="89" t="s">
        <v>324</v>
      </c>
      <c r="C398" s="89"/>
      <c r="D398" s="89"/>
      <c r="E398" s="89"/>
      <c r="F398" s="86">
        <v>2654.6756882680002</v>
      </c>
      <c r="G398" s="86"/>
      <c r="H398" s="86"/>
      <c r="I398" s="86"/>
      <c r="J398" s="41"/>
    </row>
    <row r="399" spans="1:10" ht="11.25" customHeight="1">
      <c r="A399" s="43">
        <v>8</v>
      </c>
      <c r="B399" s="89" t="s">
        <v>321</v>
      </c>
      <c r="C399" s="89"/>
      <c r="D399" s="89"/>
      <c r="E399" s="89"/>
      <c r="F399" s="86">
        <v>2585.037077086</v>
      </c>
      <c r="G399" s="86"/>
      <c r="H399" s="86"/>
      <c r="I399" s="86"/>
      <c r="J399" s="41"/>
    </row>
    <row r="400" spans="1:10" ht="11.25" customHeight="1">
      <c r="A400" s="43">
        <v>8</v>
      </c>
      <c r="B400" s="89" t="s">
        <v>320</v>
      </c>
      <c r="C400" s="89"/>
      <c r="D400" s="89"/>
      <c r="E400" s="89"/>
      <c r="F400" s="85">
        <v>0</v>
      </c>
      <c r="G400" s="85"/>
      <c r="H400" s="85"/>
      <c r="I400" s="85"/>
      <c r="J400" s="41"/>
    </row>
    <row r="401" spans="1:10" ht="11.25" customHeight="1">
      <c r="A401" s="43">
        <v>8</v>
      </c>
      <c r="B401" s="89" t="s">
        <v>319</v>
      </c>
      <c r="C401" s="89"/>
      <c r="D401" s="89"/>
      <c r="E401" s="89"/>
      <c r="F401" s="85">
        <v>0</v>
      </c>
      <c r="G401" s="85"/>
      <c r="H401" s="85"/>
      <c r="I401" s="85"/>
      <c r="J401" s="41"/>
    </row>
    <row r="402" spans="1:10" ht="11.25" customHeight="1">
      <c r="A402" s="43">
        <v>8</v>
      </c>
      <c r="B402" s="89" t="s">
        <v>318</v>
      </c>
      <c r="C402" s="89"/>
      <c r="D402" s="89"/>
      <c r="E402" s="89"/>
      <c r="F402" s="85">
        <v>0</v>
      </c>
      <c r="G402" s="85"/>
      <c r="H402" s="85"/>
      <c r="I402" s="85"/>
      <c r="J402" s="41"/>
    </row>
    <row r="403" spans="1:10" ht="11.25" customHeight="1">
      <c r="A403" s="43">
        <v>8</v>
      </c>
      <c r="B403" s="89" t="s">
        <v>317</v>
      </c>
      <c r="C403" s="89"/>
      <c r="D403" s="89"/>
      <c r="E403" s="89"/>
      <c r="F403" s="85">
        <v>0</v>
      </c>
      <c r="G403" s="85"/>
      <c r="H403" s="85"/>
      <c r="I403" s="85"/>
      <c r="J403" s="41"/>
    </row>
    <row r="404" spans="1:10" ht="11.25" customHeight="1">
      <c r="A404" s="43">
        <v>8</v>
      </c>
      <c r="B404" s="89" t="s">
        <v>316</v>
      </c>
      <c r="C404" s="89"/>
      <c r="D404" s="89"/>
      <c r="E404" s="89"/>
      <c r="F404" s="85">
        <v>0</v>
      </c>
      <c r="G404" s="85"/>
      <c r="H404" s="85"/>
      <c r="I404" s="85"/>
      <c r="J404" s="41"/>
    </row>
    <row r="405" spans="1:10" ht="11.25" customHeight="1">
      <c r="A405" s="43">
        <v>8</v>
      </c>
      <c r="B405" s="89" t="s">
        <v>315</v>
      </c>
      <c r="C405" s="89"/>
      <c r="D405" s="89"/>
      <c r="E405" s="89"/>
      <c r="F405" s="85">
        <v>0</v>
      </c>
      <c r="G405" s="85"/>
      <c r="H405" s="85"/>
      <c r="I405" s="85"/>
      <c r="J405" s="41"/>
    </row>
    <row r="406" spans="1:10" ht="11.25" customHeight="1">
      <c r="A406" s="43">
        <v>9</v>
      </c>
      <c r="B406" s="89" t="s">
        <v>322</v>
      </c>
      <c r="C406" s="89"/>
      <c r="D406" s="89"/>
      <c r="E406" s="89"/>
      <c r="F406" s="86">
        <v>2874.0685570780001</v>
      </c>
      <c r="G406" s="86"/>
      <c r="H406" s="86"/>
      <c r="I406" s="86"/>
      <c r="J406" s="41"/>
    </row>
    <row r="407" spans="1:10" ht="11.25" customHeight="1">
      <c r="A407" s="43">
        <v>9</v>
      </c>
      <c r="B407" s="89" t="s">
        <v>323</v>
      </c>
      <c r="C407" s="89"/>
      <c r="D407" s="89"/>
      <c r="E407" s="89"/>
      <c r="F407" s="86">
        <v>2870.4630048919998</v>
      </c>
      <c r="G407" s="86"/>
      <c r="H407" s="86"/>
      <c r="I407" s="86"/>
      <c r="J407" s="41"/>
    </row>
    <row r="408" spans="1:10" ht="11.25" customHeight="1">
      <c r="A408" s="43">
        <v>9</v>
      </c>
      <c r="B408" s="89" t="s">
        <v>324</v>
      </c>
      <c r="C408" s="89"/>
      <c r="D408" s="89"/>
      <c r="E408" s="89"/>
      <c r="F408" s="86">
        <v>2806.0491767580002</v>
      </c>
      <c r="G408" s="86"/>
      <c r="H408" s="86"/>
      <c r="I408" s="86"/>
      <c r="J408" s="41"/>
    </row>
    <row r="409" spans="1:10" ht="11.25" customHeight="1">
      <c r="A409" s="43">
        <v>9</v>
      </c>
      <c r="B409" s="89" t="s">
        <v>321</v>
      </c>
      <c r="C409" s="89"/>
      <c r="D409" s="89"/>
      <c r="E409" s="89"/>
      <c r="F409" s="86">
        <v>2693.7171838489999</v>
      </c>
      <c r="G409" s="86"/>
      <c r="H409" s="86"/>
      <c r="I409" s="86"/>
      <c r="J409" s="41"/>
    </row>
    <row r="410" spans="1:10" ht="11.25" customHeight="1">
      <c r="A410" s="43">
        <v>9</v>
      </c>
      <c r="B410" s="89" t="s">
        <v>320</v>
      </c>
      <c r="C410" s="89"/>
      <c r="D410" s="89"/>
      <c r="E410" s="89"/>
      <c r="F410" s="85">
        <v>0</v>
      </c>
      <c r="G410" s="85"/>
      <c r="H410" s="85"/>
      <c r="I410" s="85"/>
      <c r="J410" s="41"/>
    </row>
    <row r="411" spans="1:10" ht="11.25" customHeight="1">
      <c r="A411" s="43">
        <v>9</v>
      </c>
      <c r="B411" s="89" t="s">
        <v>319</v>
      </c>
      <c r="C411" s="89"/>
      <c r="D411" s="89"/>
      <c r="E411" s="89"/>
      <c r="F411" s="85">
        <v>0</v>
      </c>
      <c r="G411" s="85"/>
      <c r="H411" s="85"/>
      <c r="I411" s="85"/>
      <c r="J411" s="41"/>
    </row>
    <row r="412" spans="1:10" ht="11.25" customHeight="1">
      <c r="A412" s="43">
        <v>9</v>
      </c>
      <c r="B412" s="89" t="s">
        <v>318</v>
      </c>
      <c r="C412" s="89"/>
      <c r="D412" s="89"/>
      <c r="E412" s="89"/>
      <c r="F412" s="85">
        <v>0</v>
      </c>
      <c r="G412" s="85"/>
      <c r="H412" s="85"/>
      <c r="I412" s="85"/>
      <c r="J412" s="41"/>
    </row>
    <row r="413" spans="1:10" ht="11.25" customHeight="1">
      <c r="A413" s="43">
        <v>9</v>
      </c>
      <c r="B413" s="89" t="s">
        <v>317</v>
      </c>
      <c r="C413" s="89"/>
      <c r="D413" s="89"/>
      <c r="E413" s="89"/>
      <c r="F413" s="85">
        <v>0</v>
      </c>
      <c r="G413" s="85"/>
      <c r="H413" s="85"/>
      <c r="I413" s="85"/>
      <c r="J413" s="41"/>
    </row>
    <row r="414" spans="1:10" ht="11.25" customHeight="1">
      <c r="A414" s="43">
        <v>9</v>
      </c>
      <c r="B414" s="89" t="s">
        <v>316</v>
      </c>
      <c r="C414" s="89"/>
      <c r="D414" s="89"/>
      <c r="E414" s="89"/>
      <c r="F414" s="85">
        <v>0</v>
      </c>
      <c r="G414" s="85"/>
      <c r="H414" s="85"/>
      <c r="I414" s="85"/>
      <c r="J414" s="41"/>
    </row>
    <row r="415" spans="1:10" ht="11.25" customHeight="1">
      <c r="A415" s="43">
        <v>9</v>
      </c>
      <c r="B415" s="89" t="s">
        <v>315</v>
      </c>
      <c r="C415" s="89"/>
      <c r="D415" s="89"/>
      <c r="E415" s="89"/>
      <c r="F415" s="85">
        <v>0</v>
      </c>
      <c r="G415" s="85"/>
      <c r="H415" s="85"/>
      <c r="I415" s="85"/>
      <c r="J415" s="41"/>
    </row>
    <row r="416" spans="1:10" ht="11.25" customHeight="1">
      <c r="A416" s="43">
        <v>10</v>
      </c>
      <c r="B416" s="89" t="s">
        <v>324</v>
      </c>
      <c r="C416" s="89"/>
      <c r="D416" s="89"/>
      <c r="E416" s="89"/>
      <c r="F416" s="86">
        <v>2841.8768262240001</v>
      </c>
      <c r="G416" s="86"/>
      <c r="H416" s="86"/>
      <c r="I416" s="86"/>
      <c r="J416" s="41"/>
    </row>
    <row r="417" spans="1:10" ht="11.25" customHeight="1">
      <c r="A417" s="43">
        <v>10</v>
      </c>
      <c r="B417" s="89" t="s">
        <v>323</v>
      </c>
      <c r="C417" s="89"/>
      <c r="D417" s="89"/>
      <c r="E417" s="89"/>
      <c r="F417" s="86">
        <v>2813.9710731919999</v>
      </c>
      <c r="G417" s="86"/>
      <c r="H417" s="86"/>
      <c r="I417" s="86"/>
      <c r="J417" s="41"/>
    </row>
    <row r="418" spans="1:10" ht="11.25" customHeight="1">
      <c r="A418" s="43">
        <v>10</v>
      </c>
      <c r="B418" s="89" t="s">
        <v>322</v>
      </c>
      <c r="C418" s="89"/>
      <c r="D418" s="89"/>
      <c r="E418" s="89"/>
      <c r="F418" s="86">
        <v>2812.8039900160002</v>
      </c>
      <c r="G418" s="86"/>
      <c r="H418" s="86"/>
      <c r="I418" s="86"/>
      <c r="J418" s="41"/>
    </row>
    <row r="419" spans="1:10" ht="11.25" customHeight="1">
      <c r="A419" s="43">
        <v>10</v>
      </c>
      <c r="B419" s="89" t="s">
        <v>321</v>
      </c>
      <c r="C419" s="89"/>
      <c r="D419" s="89"/>
      <c r="E419" s="89"/>
      <c r="F419" s="86">
        <v>2731.1381537840002</v>
      </c>
      <c r="G419" s="86"/>
      <c r="H419" s="86"/>
      <c r="I419" s="86"/>
      <c r="J419" s="41"/>
    </row>
    <row r="420" spans="1:10" ht="11.25" customHeight="1">
      <c r="A420" s="43">
        <v>10</v>
      </c>
      <c r="B420" s="89" t="s">
        <v>320</v>
      </c>
      <c r="C420" s="89"/>
      <c r="D420" s="89"/>
      <c r="E420" s="89"/>
      <c r="F420" s="85">
        <v>0</v>
      </c>
      <c r="G420" s="85"/>
      <c r="H420" s="85"/>
      <c r="I420" s="85"/>
      <c r="J420" s="41"/>
    </row>
    <row r="421" spans="1:10" ht="11.25" customHeight="1">
      <c r="A421" s="43">
        <v>10</v>
      </c>
      <c r="B421" s="89" t="s">
        <v>319</v>
      </c>
      <c r="C421" s="89"/>
      <c r="D421" s="89"/>
      <c r="E421" s="89"/>
      <c r="F421" s="85">
        <v>0</v>
      </c>
      <c r="G421" s="85"/>
      <c r="H421" s="85"/>
      <c r="I421" s="85"/>
      <c r="J421" s="41"/>
    </row>
    <row r="422" spans="1:10" ht="11.25" customHeight="1">
      <c r="A422" s="43">
        <v>10</v>
      </c>
      <c r="B422" s="89" t="s">
        <v>318</v>
      </c>
      <c r="C422" s="89"/>
      <c r="D422" s="89"/>
      <c r="E422" s="89"/>
      <c r="F422" s="85">
        <v>0</v>
      </c>
      <c r="G422" s="85"/>
      <c r="H422" s="85"/>
      <c r="I422" s="85"/>
      <c r="J422" s="41"/>
    </row>
    <row r="423" spans="1:10" ht="11.25" customHeight="1">
      <c r="A423" s="43">
        <v>10</v>
      </c>
      <c r="B423" s="89" t="s">
        <v>317</v>
      </c>
      <c r="C423" s="89"/>
      <c r="D423" s="89"/>
      <c r="E423" s="89"/>
      <c r="F423" s="85">
        <v>0</v>
      </c>
      <c r="G423" s="85"/>
      <c r="H423" s="85"/>
      <c r="I423" s="85"/>
      <c r="J423" s="41"/>
    </row>
    <row r="424" spans="1:10" ht="11.25" customHeight="1">
      <c r="A424" s="43">
        <v>10</v>
      </c>
      <c r="B424" s="89" t="s">
        <v>316</v>
      </c>
      <c r="C424" s="89"/>
      <c r="D424" s="89"/>
      <c r="E424" s="89"/>
      <c r="F424" s="85">
        <v>0</v>
      </c>
      <c r="G424" s="85"/>
      <c r="H424" s="85"/>
      <c r="I424" s="85"/>
      <c r="J424" s="41"/>
    </row>
    <row r="425" spans="1:10" ht="19.5" customHeight="1">
      <c r="A425" s="43">
        <v>10</v>
      </c>
      <c r="B425" s="89" t="s">
        <v>315</v>
      </c>
      <c r="C425" s="89"/>
      <c r="D425" s="89"/>
      <c r="E425" s="89"/>
      <c r="F425" s="85">
        <v>0</v>
      </c>
      <c r="G425" s="85"/>
      <c r="H425" s="85"/>
      <c r="I425" s="85"/>
      <c r="J425" s="44"/>
    </row>
    <row r="426" spans="1:10" ht="23" customHeight="1">
      <c r="A426" s="84" t="s">
        <v>224</v>
      </c>
      <c r="B426" s="84"/>
      <c r="C426" s="84"/>
      <c r="D426" s="84"/>
      <c r="E426" s="84"/>
      <c r="F426" s="84"/>
      <c r="G426" s="84"/>
      <c r="H426" s="84"/>
      <c r="I426" s="84"/>
      <c r="J426" s="84"/>
    </row>
    <row r="427" spans="1:10" ht="23" customHeight="1">
      <c r="A427" s="76" t="s">
        <v>314</v>
      </c>
      <c r="B427" s="76"/>
      <c r="C427" s="76"/>
      <c r="D427" s="76"/>
      <c r="E427" s="76"/>
      <c r="F427" s="76"/>
      <c r="G427" s="76"/>
      <c r="H427" s="76"/>
      <c r="I427" s="76"/>
      <c r="J427" s="76"/>
    </row>
    <row r="428" spans="1:10" ht="34.049999999999997" customHeight="1">
      <c r="A428" s="76" t="s">
        <v>313</v>
      </c>
      <c r="B428" s="76"/>
      <c r="C428" s="76"/>
      <c r="D428" s="76"/>
      <c r="E428" s="76"/>
      <c r="F428" s="76"/>
      <c r="G428" s="76"/>
      <c r="H428" s="76"/>
      <c r="I428" s="76"/>
      <c r="J428" s="76"/>
    </row>
    <row r="429" spans="1:10" ht="35" customHeight="1">
      <c r="A429" s="76" t="s">
        <v>312</v>
      </c>
      <c r="B429" s="76"/>
      <c r="C429" s="76"/>
      <c r="D429" s="76"/>
      <c r="E429" s="76"/>
      <c r="F429" s="76"/>
      <c r="G429" s="76"/>
      <c r="H429" s="76"/>
      <c r="I429" s="76"/>
      <c r="J429" s="76"/>
    </row>
    <row r="430" spans="1:10" ht="34.049999999999997" customHeight="1">
      <c r="A430" s="76" t="s">
        <v>311</v>
      </c>
      <c r="B430" s="76"/>
      <c r="C430" s="76"/>
      <c r="D430" s="76"/>
      <c r="E430" s="76"/>
      <c r="F430" s="76"/>
      <c r="G430" s="76"/>
      <c r="H430" s="76"/>
      <c r="I430" s="76"/>
      <c r="J430" s="76"/>
    </row>
    <row r="431" spans="1:10" ht="35" customHeight="1">
      <c r="A431" s="76" t="s">
        <v>310</v>
      </c>
      <c r="B431" s="76"/>
      <c r="C431" s="76"/>
      <c r="D431" s="76"/>
      <c r="E431" s="76"/>
      <c r="F431" s="76"/>
      <c r="G431" s="76"/>
      <c r="H431" s="76"/>
      <c r="I431" s="76"/>
      <c r="J431" s="76"/>
    </row>
    <row r="432" spans="1:10" ht="28.5" customHeight="1">
      <c r="A432" s="77" t="s">
        <v>309</v>
      </c>
      <c r="B432" s="77"/>
      <c r="C432" s="77"/>
      <c r="D432" s="77"/>
      <c r="E432" s="77"/>
      <c r="F432" s="77"/>
      <c r="G432" s="77"/>
      <c r="H432" s="77"/>
      <c r="I432" s="77"/>
      <c r="J432" s="77"/>
    </row>
    <row r="433" spans="1:10" ht="230.55" customHeight="1">
      <c r="A433" s="77" t="s">
        <v>308</v>
      </c>
      <c r="B433" s="77"/>
      <c r="C433" s="77"/>
      <c r="D433" s="77"/>
      <c r="E433" s="77"/>
      <c r="F433" s="77"/>
      <c r="G433" s="77"/>
      <c r="H433" s="77"/>
      <c r="I433" s="77"/>
      <c r="J433" s="77"/>
    </row>
    <row r="434" spans="1:10" ht="11.25" customHeight="1">
      <c r="A434" s="78" t="s">
        <v>237</v>
      </c>
      <c r="B434" s="78"/>
      <c r="C434" s="78" t="s">
        <v>244</v>
      </c>
      <c r="D434" s="78"/>
      <c r="E434" s="54" t="s">
        <v>238</v>
      </c>
      <c r="F434" s="57" t="s">
        <v>236</v>
      </c>
      <c r="G434" s="56" t="s">
        <v>243</v>
      </c>
      <c r="H434" s="55" t="s">
        <v>242</v>
      </c>
      <c r="I434" s="54" t="s">
        <v>241</v>
      </c>
      <c r="J434" s="41"/>
    </row>
    <row r="435" spans="1:10" ht="11.25" customHeight="1">
      <c r="A435" s="75" t="s">
        <v>307</v>
      </c>
      <c r="B435" s="75"/>
      <c r="C435" s="75" t="s">
        <v>240</v>
      </c>
      <c r="D435" s="75"/>
      <c r="E435" s="50">
        <v>7</v>
      </c>
      <c r="F435" s="53">
        <v>3387</v>
      </c>
      <c r="G435" s="49">
        <v>929</v>
      </c>
      <c r="H435" s="60">
        <v>3042.250000001</v>
      </c>
      <c r="I435" s="47">
        <v>1</v>
      </c>
      <c r="J435" s="41"/>
    </row>
    <row r="436" spans="1:10" ht="11.25" customHeight="1">
      <c r="A436" s="75" t="s">
        <v>306</v>
      </c>
      <c r="B436" s="75"/>
      <c r="C436" s="75" t="s">
        <v>240</v>
      </c>
      <c r="D436" s="75"/>
      <c r="E436" s="50">
        <v>7</v>
      </c>
      <c r="F436" s="53">
        <v>3199</v>
      </c>
      <c r="G436" s="49">
        <v>929</v>
      </c>
      <c r="H436" s="60">
        <v>3042.250000001</v>
      </c>
      <c r="I436" s="47">
        <v>1</v>
      </c>
      <c r="J436" s="41"/>
    </row>
    <row r="437" spans="1:10" ht="11.25" customHeight="1">
      <c r="A437" s="75" t="s">
        <v>305</v>
      </c>
      <c r="B437" s="75"/>
      <c r="C437" s="75" t="s">
        <v>240</v>
      </c>
      <c r="D437" s="75"/>
      <c r="E437" s="50">
        <v>7</v>
      </c>
      <c r="F437" s="53">
        <v>3071</v>
      </c>
      <c r="G437" s="49">
        <v>929</v>
      </c>
      <c r="H437" s="60">
        <v>3042.250000001</v>
      </c>
      <c r="I437" s="47">
        <v>1</v>
      </c>
      <c r="J437" s="41"/>
    </row>
    <row r="438" spans="1:10" ht="11.25" customHeight="1">
      <c r="A438" s="75" t="s">
        <v>304</v>
      </c>
      <c r="B438" s="75"/>
      <c r="C438" s="75" t="s">
        <v>239</v>
      </c>
      <c r="D438" s="75"/>
      <c r="E438" s="50">
        <v>7</v>
      </c>
      <c r="F438" s="53">
        <v>2512</v>
      </c>
      <c r="G438" s="49">
        <v>929</v>
      </c>
      <c r="H438" s="60">
        <v>3042.250000001</v>
      </c>
      <c r="I438" s="47">
        <v>0</v>
      </c>
      <c r="J438" s="41"/>
    </row>
    <row r="439" spans="1:10" ht="11.25" customHeight="1">
      <c r="A439" s="75" t="s">
        <v>298</v>
      </c>
      <c r="B439" s="75"/>
      <c r="C439" s="75" t="s">
        <v>239</v>
      </c>
      <c r="D439" s="75"/>
      <c r="E439" s="50">
        <v>6</v>
      </c>
      <c r="F439" s="53">
        <v>1982</v>
      </c>
      <c r="G439" s="49">
        <v>674</v>
      </c>
      <c r="H439" s="60">
        <v>3106.000000001</v>
      </c>
      <c r="I439" s="47">
        <v>0</v>
      </c>
      <c r="J439" s="41"/>
    </row>
    <row r="440" spans="1:10" ht="11.25" customHeight="1">
      <c r="A440" s="75" t="s">
        <v>303</v>
      </c>
      <c r="B440" s="75"/>
      <c r="C440" s="75" t="s">
        <v>239</v>
      </c>
      <c r="D440" s="75"/>
      <c r="E440" s="50">
        <v>5</v>
      </c>
      <c r="F440" s="53">
        <v>1289</v>
      </c>
      <c r="G440" s="49">
        <v>329</v>
      </c>
      <c r="H440" s="60">
        <v>3192.250000001</v>
      </c>
      <c r="I440" s="47">
        <v>0</v>
      </c>
      <c r="J440" s="41"/>
    </row>
    <row r="441" spans="1:10" ht="11.25" customHeight="1">
      <c r="A441" s="75" t="s">
        <v>300</v>
      </c>
      <c r="B441" s="75"/>
      <c r="C441" s="75" t="s">
        <v>239</v>
      </c>
      <c r="D441" s="75"/>
      <c r="E441" s="50">
        <v>4</v>
      </c>
      <c r="F441" s="49">
        <v>893</v>
      </c>
      <c r="G441" s="49">
        <v>153</v>
      </c>
      <c r="H441" s="60">
        <v>3236.250000001</v>
      </c>
      <c r="I441" s="47">
        <v>0</v>
      </c>
      <c r="J441" s="41"/>
    </row>
    <row r="442" spans="1:10" ht="11.25" customHeight="1">
      <c r="A442" s="75" t="s">
        <v>301</v>
      </c>
      <c r="B442" s="75"/>
      <c r="C442" s="75" t="s">
        <v>239</v>
      </c>
      <c r="D442" s="75"/>
      <c r="E442" s="50">
        <v>3</v>
      </c>
      <c r="F442" s="49">
        <v>665</v>
      </c>
      <c r="G442" s="49">
        <v>52</v>
      </c>
      <c r="H442" s="60">
        <v>3261.500000001</v>
      </c>
      <c r="I442" s="47">
        <v>0</v>
      </c>
      <c r="J442" s="41"/>
    </row>
    <row r="443" spans="1:10" ht="11.25" customHeight="1">
      <c r="A443" s="75" t="s">
        <v>302</v>
      </c>
      <c r="B443" s="75"/>
      <c r="C443" s="75" t="s">
        <v>239</v>
      </c>
      <c r="D443" s="75"/>
      <c r="E443" s="50">
        <v>2</v>
      </c>
      <c r="F443" s="49">
        <v>314</v>
      </c>
      <c r="G443" s="49">
        <v>14</v>
      </c>
      <c r="H443" s="60">
        <v>3271.000000001</v>
      </c>
      <c r="I443" s="47">
        <v>0</v>
      </c>
      <c r="J443" s="41"/>
    </row>
    <row r="444" spans="1:10" ht="11.25" customHeight="1">
      <c r="A444" s="75" t="s">
        <v>299</v>
      </c>
      <c r="B444" s="75"/>
      <c r="C444" s="75" t="s">
        <v>239</v>
      </c>
      <c r="D444" s="75"/>
      <c r="E444" s="50">
        <v>1</v>
      </c>
      <c r="F444" s="49">
        <v>51</v>
      </c>
      <c r="G444" s="49">
        <v>0</v>
      </c>
      <c r="H444" s="60">
        <v>3274.500000001</v>
      </c>
      <c r="I444" s="47">
        <v>0</v>
      </c>
      <c r="J444" s="41"/>
    </row>
    <row r="445" spans="1:10" ht="22.5" customHeight="1">
      <c r="A445" s="46" t="s">
        <v>238</v>
      </c>
      <c r="B445" s="45" t="s">
        <v>237</v>
      </c>
      <c r="C445" s="83" t="s">
        <v>236</v>
      </c>
      <c r="D445" s="83"/>
      <c r="E445" s="83"/>
      <c r="F445" s="83"/>
      <c r="G445" s="83"/>
      <c r="H445" s="83"/>
      <c r="I445" s="83"/>
      <c r="J445" s="44"/>
    </row>
    <row r="446" spans="1:10" ht="11.25" customHeight="1">
      <c r="A446" s="43">
        <v>1</v>
      </c>
      <c r="B446" s="42" t="s">
        <v>306</v>
      </c>
      <c r="C446" s="79">
        <v>2402</v>
      </c>
      <c r="D446" s="79"/>
      <c r="E446" s="79"/>
      <c r="F446" s="79"/>
      <c r="G446" s="79"/>
      <c r="H446" s="79"/>
      <c r="I446" s="79"/>
      <c r="J446" s="41"/>
    </row>
    <row r="447" spans="1:10" ht="11.25" customHeight="1">
      <c r="A447" s="43">
        <v>1</v>
      </c>
      <c r="B447" s="42" t="s">
        <v>305</v>
      </c>
      <c r="C447" s="79">
        <v>2367</v>
      </c>
      <c r="D447" s="79"/>
      <c r="E447" s="79"/>
      <c r="F447" s="79"/>
      <c r="G447" s="79"/>
      <c r="H447" s="79"/>
      <c r="I447" s="79"/>
      <c r="J447" s="41"/>
    </row>
    <row r="448" spans="1:10" ht="11.25" customHeight="1">
      <c r="A448" s="43">
        <v>1</v>
      </c>
      <c r="B448" s="42" t="s">
        <v>307</v>
      </c>
      <c r="C448" s="79">
        <v>1980</v>
      </c>
      <c r="D448" s="79"/>
      <c r="E448" s="79"/>
      <c r="F448" s="79"/>
      <c r="G448" s="79"/>
      <c r="H448" s="79"/>
      <c r="I448" s="79"/>
      <c r="J448" s="41"/>
    </row>
    <row r="449" spans="1:10" ht="11.25" customHeight="1">
      <c r="A449" s="43">
        <v>1</v>
      </c>
      <c r="B449" s="42" t="s">
        <v>298</v>
      </c>
      <c r="C449" s="79">
        <v>1846</v>
      </c>
      <c r="D449" s="79"/>
      <c r="E449" s="79"/>
      <c r="F449" s="79"/>
      <c r="G449" s="79"/>
      <c r="H449" s="79"/>
      <c r="I449" s="79"/>
      <c r="J449" s="41"/>
    </row>
    <row r="450" spans="1:10" ht="11.25" customHeight="1">
      <c r="A450" s="43">
        <v>1</v>
      </c>
      <c r="B450" s="42" t="s">
        <v>304</v>
      </c>
      <c r="C450" s="79">
        <v>1749</v>
      </c>
      <c r="D450" s="79"/>
      <c r="E450" s="79"/>
      <c r="F450" s="79"/>
      <c r="G450" s="79"/>
      <c r="H450" s="79"/>
      <c r="I450" s="79"/>
      <c r="J450" s="41"/>
    </row>
    <row r="451" spans="1:10" ht="11.25" customHeight="1">
      <c r="A451" s="43">
        <v>1</v>
      </c>
      <c r="B451" s="42" t="s">
        <v>303</v>
      </c>
      <c r="C451" s="79">
        <v>1098</v>
      </c>
      <c r="D451" s="79"/>
      <c r="E451" s="79"/>
      <c r="F451" s="79"/>
      <c r="G451" s="79"/>
      <c r="H451" s="79"/>
      <c r="I451" s="79"/>
      <c r="J451" s="41"/>
    </row>
    <row r="452" spans="1:10" ht="11.25" customHeight="1">
      <c r="A452" s="43">
        <v>1</v>
      </c>
      <c r="B452" s="42" t="s">
        <v>300</v>
      </c>
      <c r="C452" s="80">
        <v>690</v>
      </c>
      <c r="D452" s="80"/>
      <c r="E452" s="80"/>
      <c r="F452" s="80"/>
      <c r="G452" s="80"/>
      <c r="H452" s="80"/>
      <c r="I452" s="80"/>
      <c r="J452" s="41"/>
    </row>
    <row r="453" spans="1:10" ht="11.25" customHeight="1">
      <c r="A453" s="43">
        <v>1</v>
      </c>
      <c r="B453" s="42" t="s">
        <v>301</v>
      </c>
      <c r="C453" s="80">
        <v>603</v>
      </c>
      <c r="D453" s="80"/>
      <c r="E453" s="80"/>
      <c r="F453" s="80"/>
      <c r="G453" s="80"/>
      <c r="H453" s="80"/>
      <c r="I453" s="80"/>
      <c r="J453" s="41"/>
    </row>
    <row r="454" spans="1:10" ht="11.25" customHeight="1">
      <c r="A454" s="43">
        <v>1</v>
      </c>
      <c r="B454" s="42" t="s">
        <v>302</v>
      </c>
      <c r="C454" s="80">
        <v>312</v>
      </c>
      <c r="D454" s="80"/>
      <c r="E454" s="80"/>
      <c r="F454" s="80"/>
      <c r="G454" s="80"/>
      <c r="H454" s="80"/>
      <c r="I454" s="80"/>
      <c r="J454" s="41"/>
    </row>
    <row r="455" spans="1:10" ht="11.25" customHeight="1">
      <c r="A455" s="43">
        <v>1</v>
      </c>
      <c r="B455" s="42" t="s">
        <v>299</v>
      </c>
      <c r="C455" s="80">
        <v>51</v>
      </c>
      <c r="D455" s="80"/>
      <c r="E455" s="80"/>
      <c r="F455" s="80"/>
      <c r="G455" s="80"/>
      <c r="H455" s="80"/>
      <c r="I455" s="80"/>
      <c r="J455" s="41"/>
    </row>
    <row r="456" spans="1:10" ht="11.25" customHeight="1">
      <c r="A456" s="43">
        <v>2</v>
      </c>
      <c r="B456" s="42" t="s">
        <v>306</v>
      </c>
      <c r="C456" s="79">
        <v>2409</v>
      </c>
      <c r="D456" s="79"/>
      <c r="E456" s="79"/>
      <c r="F456" s="79"/>
      <c r="G456" s="79"/>
      <c r="H456" s="79"/>
      <c r="I456" s="79"/>
      <c r="J456" s="41"/>
    </row>
    <row r="457" spans="1:10" ht="11.25" customHeight="1">
      <c r="A457" s="43">
        <v>2</v>
      </c>
      <c r="B457" s="42" t="s">
        <v>305</v>
      </c>
      <c r="C457" s="79">
        <v>2371</v>
      </c>
      <c r="D457" s="79"/>
      <c r="E457" s="79"/>
      <c r="F457" s="79"/>
      <c r="G457" s="79"/>
      <c r="H457" s="79"/>
      <c r="I457" s="79"/>
      <c r="J457" s="41"/>
    </row>
    <row r="458" spans="1:10" ht="11.25" customHeight="1">
      <c r="A458" s="43">
        <v>2</v>
      </c>
      <c r="B458" s="42" t="s">
        <v>307</v>
      </c>
      <c r="C458" s="79">
        <v>1982</v>
      </c>
      <c r="D458" s="79"/>
      <c r="E458" s="79"/>
      <c r="F458" s="79"/>
      <c r="G458" s="79"/>
      <c r="H458" s="79"/>
      <c r="I458" s="79"/>
      <c r="J458" s="41"/>
    </row>
    <row r="459" spans="1:10" ht="11.25" customHeight="1">
      <c r="A459" s="43">
        <v>2</v>
      </c>
      <c r="B459" s="42" t="s">
        <v>298</v>
      </c>
      <c r="C459" s="79">
        <v>1853</v>
      </c>
      <c r="D459" s="79"/>
      <c r="E459" s="79"/>
      <c r="F459" s="79"/>
      <c r="G459" s="79"/>
      <c r="H459" s="79"/>
      <c r="I459" s="79"/>
      <c r="J459" s="41"/>
    </row>
    <row r="460" spans="1:10" ht="11.25" customHeight="1">
      <c r="A460" s="43">
        <v>2</v>
      </c>
      <c r="B460" s="42" t="s">
        <v>304</v>
      </c>
      <c r="C460" s="79">
        <v>1753</v>
      </c>
      <c r="D460" s="79"/>
      <c r="E460" s="79"/>
      <c r="F460" s="79"/>
      <c r="G460" s="79"/>
      <c r="H460" s="79"/>
      <c r="I460" s="79"/>
      <c r="J460" s="41"/>
    </row>
    <row r="461" spans="1:10" ht="11.25" customHeight="1">
      <c r="A461" s="43">
        <v>2</v>
      </c>
      <c r="B461" s="42" t="s">
        <v>303</v>
      </c>
      <c r="C461" s="79">
        <v>1103</v>
      </c>
      <c r="D461" s="79"/>
      <c r="E461" s="79"/>
      <c r="F461" s="79"/>
      <c r="G461" s="79"/>
      <c r="H461" s="79"/>
      <c r="I461" s="79"/>
      <c r="J461" s="41"/>
    </row>
    <row r="462" spans="1:10" ht="11.25" customHeight="1">
      <c r="A462" s="43">
        <v>2</v>
      </c>
      <c r="B462" s="42" t="s">
        <v>300</v>
      </c>
      <c r="C462" s="80">
        <v>695</v>
      </c>
      <c r="D462" s="80"/>
      <c r="E462" s="80"/>
      <c r="F462" s="80"/>
      <c r="G462" s="80"/>
      <c r="H462" s="80"/>
      <c r="I462" s="80"/>
      <c r="J462" s="41"/>
    </row>
    <row r="463" spans="1:10" ht="11.25" customHeight="1">
      <c r="A463" s="43">
        <v>2</v>
      </c>
      <c r="B463" s="42" t="s">
        <v>301</v>
      </c>
      <c r="C463" s="80">
        <v>604</v>
      </c>
      <c r="D463" s="80"/>
      <c r="E463" s="80"/>
      <c r="F463" s="80"/>
      <c r="G463" s="80"/>
      <c r="H463" s="80"/>
      <c r="I463" s="80"/>
      <c r="J463" s="41"/>
    </row>
    <row r="464" spans="1:10" ht="11.25" customHeight="1">
      <c r="A464" s="43">
        <v>2</v>
      </c>
      <c r="B464" s="42" t="s">
        <v>302</v>
      </c>
      <c r="C464" s="80">
        <v>314</v>
      </c>
      <c r="D464" s="80"/>
      <c r="E464" s="80"/>
      <c r="F464" s="80"/>
      <c r="G464" s="80"/>
      <c r="H464" s="80"/>
      <c r="I464" s="80"/>
      <c r="J464" s="41"/>
    </row>
    <row r="465" spans="1:10" ht="11.25" customHeight="1">
      <c r="A465" s="43">
        <v>2</v>
      </c>
      <c r="B465" s="42" t="s">
        <v>299</v>
      </c>
      <c r="C465" s="82">
        <v>0</v>
      </c>
      <c r="D465" s="82"/>
      <c r="E465" s="82"/>
      <c r="F465" s="82"/>
      <c r="G465" s="82"/>
      <c r="H465" s="82"/>
      <c r="I465" s="82"/>
      <c r="J465" s="41"/>
    </row>
    <row r="466" spans="1:10" ht="11.25" customHeight="1">
      <c r="A466" s="43">
        <v>3</v>
      </c>
      <c r="B466" s="42" t="s">
        <v>306</v>
      </c>
      <c r="C466" s="79">
        <v>2461</v>
      </c>
      <c r="D466" s="79"/>
      <c r="E466" s="79"/>
      <c r="F466" s="79"/>
      <c r="G466" s="79"/>
      <c r="H466" s="79"/>
      <c r="I466" s="79"/>
      <c r="J466" s="41"/>
    </row>
    <row r="467" spans="1:10" ht="11.25" customHeight="1">
      <c r="A467" s="43">
        <v>3</v>
      </c>
      <c r="B467" s="42" t="s">
        <v>305</v>
      </c>
      <c r="C467" s="79">
        <v>2401</v>
      </c>
      <c r="D467" s="79"/>
      <c r="E467" s="79"/>
      <c r="F467" s="79"/>
      <c r="G467" s="79"/>
      <c r="H467" s="79"/>
      <c r="I467" s="79"/>
      <c r="J467" s="41"/>
    </row>
    <row r="468" spans="1:10" ht="11.25" customHeight="1">
      <c r="A468" s="43">
        <v>3</v>
      </c>
      <c r="B468" s="42" t="s">
        <v>307</v>
      </c>
      <c r="C468" s="79">
        <v>1996</v>
      </c>
      <c r="D468" s="79"/>
      <c r="E468" s="79"/>
      <c r="F468" s="79"/>
      <c r="G468" s="79"/>
      <c r="H468" s="79"/>
      <c r="I468" s="79"/>
      <c r="J468" s="41"/>
    </row>
    <row r="469" spans="1:10" ht="11.25" customHeight="1">
      <c r="A469" s="43">
        <v>3</v>
      </c>
      <c r="B469" s="42" t="s">
        <v>298</v>
      </c>
      <c r="C469" s="79">
        <v>1860</v>
      </c>
      <c r="D469" s="79"/>
      <c r="E469" s="79"/>
      <c r="F469" s="79"/>
      <c r="G469" s="79"/>
      <c r="H469" s="79"/>
      <c r="I469" s="79"/>
      <c r="J469" s="41"/>
    </row>
    <row r="470" spans="1:10" ht="11.25" customHeight="1">
      <c r="A470" s="43">
        <v>3</v>
      </c>
      <c r="B470" s="42" t="s">
        <v>304</v>
      </c>
      <c r="C470" s="79">
        <v>1782</v>
      </c>
      <c r="D470" s="79"/>
      <c r="E470" s="79"/>
      <c r="F470" s="79"/>
      <c r="G470" s="79"/>
      <c r="H470" s="79"/>
      <c r="I470" s="79"/>
      <c r="J470" s="41"/>
    </row>
    <row r="471" spans="1:10" ht="11.25" customHeight="1">
      <c r="A471" s="43">
        <v>3</v>
      </c>
      <c r="B471" s="42" t="s">
        <v>303</v>
      </c>
      <c r="C471" s="79">
        <v>1126</v>
      </c>
      <c r="D471" s="79"/>
      <c r="E471" s="79"/>
      <c r="F471" s="79"/>
      <c r="G471" s="79"/>
      <c r="H471" s="79"/>
      <c r="I471" s="79"/>
      <c r="J471" s="41"/>
    </row>
    <row r="472" spans="1:10" ht="11.25" customHeight="1">
      <c r="A472" s="43">
        <v>3</v>
      </c>
      <c r="B472" s="42" t="s">
        <v>300</v>
      </c>
      <c r="C472" s="80">
        <v>755</v>
      </c>
      <c r="D472" s="80"/>
      <c r="E472" s="80"/>
      <c r="F472" s="80"/>
      <c r="G472" s="80"/>
      <c r="H472" s="80"/>
      <c r="I472" s="80"/>
      <c r="J472" s="41"/>
    </row>
    <row r="473" spans="1:10" ht="11.25" customHeight="1">
      <c r="A473" s="43">
        <v>3</v>
      </c>
      <c r="B473" s="42" t="s">
        <v>301</v>
      </c>
      <c r="C473" s="80">
        <v>665</v>
      </c>
      <c r="D473" s="80"/>
      <c r="E473" s="80"/>
      <c r="F473" s="80"/>
      <c r="G473" s="80"/>
      <c r="H473" s="80"/>
      <c r="I473" s="80"/>
      <c r="J473" s="41"/>
    </row>
    <row r="474" spans="1:10" ht="11.25" customHeight="1">
      <c r="A474" s="43">
        <v>3</v>
      </c>
      <c r="B474" s="42" t="s">
        <v>302</v>
      </c>
      <c r="C474" s="82">
        <v>0</v>
      </c>
      <c r="D474" s="82"/>
      <c r="E474" s="82"/>
      <c r="F474" s="82"/>
      <c r="G474" s="82"/>
      <c r="H474" s="82"/>
      <c r="I474" s="82"/>
      <c r="J474" s="41"/>
    </row>
    <row r="475" spans="1:10" ht="11.25" customHeight="1">
      <c r="A475" s="43">
        <v>3</v>
      </c>
      <c r="B475" s="42" t="s">
        <v>299</v>
      </c>
      <c r="C475" s="82">
        <v>0</v>
      </c>
      <c r="D475" s="82"/>
      <c r="E475" s="82"/>
      <c r="F475" s="82"/>
      <c r="G475" s="82"/>
      <c r="H475" s="82"/>
      <c r="I475" s="82"/>
      <c r="J475" s="41"/>
    </row>
    <row r="476" spans="1:10" ht="11.25" customHeight="1">
      <c r="A476" s="43">
        <v>4</v>
      </c>
      <c r="B476" s="42" t="s">
        <v>306</v>
      </c>
      <c r="C476" s="79">
        <v>2566</v>
      </c>
      <c r="D476" s="79"/>
      <c r="E476" s="79"/>
      <c r="F476" s="79"/>
      <c r="G476" s="79"/>
      <c r="H476" s="79"/>
      <c r="I476" s="79"/>
      <c r="J476" s="41"/>
    </row>
    <row r="477" spans="1:10" ht="11.25" customHeight="1">
      <c r="A477" s="43">
        <v>4</v>
      </c>
      <c r="B477" s="42" t="s">
        <v>305</v>
      </c>
      <c r="C477" s="79">
        <v>2481</v>
      </c>
      <c r="D477" s="79"/>
      <c r="E477" s="79"/>
      <c r="F477" s="79"/>
      <c r="G477" s="79"/>
      <c r="H477" s="79"/>
      <c r="I477" s="79"/>
      <c r="J477" s="41"/>
    </row>
    <row r="478" spans="1:10" ht="11.25" customHeight="1">
      <c r="A478" s="43">
        <v>4</v>
      </c>
      <c r="B478" s="42" t="s">
        <v>307</v>
      </c>
      <c r="C478" s="79">
        <v>2076</v>
      </c>
      <c r="D478" s="79"/>
      <c r="E478" s="79"/>
      <c r="F478" s="79"/>
      <c r="G478" s="79"/>
      <c r="H478" s="79"/>
      <c r="I478" s="79"/>
      <c r="J478" s="41"/>
    </row>
    <row r="479" spans="1:10" ht="11.25" customHeight="1">
      <c r="A479" s="43">
        <v>4</v>
      </c>
      <c r="B479" s="42" t="s">
        <v>304</v>
      </c>
      <c r="C479" s="79">
        <v>1871</v>
      </c>
      <c r="D479" s="79"/>
      <c r="E479" s="79"/>
      <c r="F479" s="79"/>
      <c r="G479" s="79"/>
      <c r="H479" s="79"/>
      <c r="I479" s="79"/>
      <c r="J479" s="41"/>
    </row>
    <row r="480" spans="1:10" ht="11.25" customHeight="1">
      <c r="A480" s="43">
        <v>4</v>
      </c>
      <c r="B480" s="42" t="s">
        <v>298</v>
      </c>
      <c r="C480" s="79">
        <v>1869</v>
      </c>
      <c r="D480" s="79"/>
      <c r="E480" s="79"/>
      <c r="F480" s="79"/>
      <c r="G480" s="79"/>
      <c r="H480" s="79"/>
      <c r="I480" s="79"/>
      <c r="J480" s="41"/>
    </row>
    <row r="481" spans="1:10" ht="11.25" customHeight="1">
      <c r="A481" s="43">
        <v>4</v>
      </c>
      <c r="B481" s="42" t="s">
        <v>303</v>
      </c>
      <c r="C481" s="79">
        <v>1189</v>
      </c>
      <c r="D481" s="79"/>
      <c r="E481" s="79"/>
      <c r="F481" s="79"/>
      <c r="G481" s="79"/>
      <c r="H481" s="79"/>
      <c r="I481" s="79"/>
      <c r="J481" s="41"/>
    </row>
    <row r="482" spans="1:10" ht="11.25" customHeight="1">
      <c r="A482" s="43">
        <v>4</v>
      </c>
      <c r="B482" s="42" t="s">
        <v>300</v>
      </c>
      <c r="C482" s="80">
        <v>893</v>
      </c>
      <c r="D482" s="80"/>
      <c r="E482" s="80"/>
      <c r="F482" s="80"/>
      <c r="G482" s="80"/>
      <c r="H482" s="80"/>
      <c r="I482" s="80"/>
      <c r="J482" s="41"/>
    </row>
    <row r="483" spans="1:10" ht="11.25" customHeight="1">
      <c r="A483" s="43">
        <v>4</v>
      </c>
      <c r="B483" s="42" t="s">
        <v>302</v>
      </c>
      <c r="C483" s="82">
        <v>0</v>
      </c>
      <c r="D483" s="82"/>
      <c r="E483" s="82"/>
      <c r="F483" s="82"/>
      <c r="G483" s="82"/>
      <c r="H483" s="82"/>
      <c r="I483" s="82"/>
      <c r="J483" s="41"/>
    </row>
    <row r="484" spans="1:10" ht="11.25" customHeight="1">
      <c r="A484" s="43">
        <v>4</v>
      </c>
      <c r="B484" s="42" t="s">
        <v>301</v>
      </c>
      <c r="C484" s="82">
        <v>0</v>
      </c>
      <c r="D484" s="82"/>
      <c r="E484" s="82"/>
      <c r="F484" s="82"/>
      <c r="G484" s="82"/>
      <c r="H484" s="82"/>
      <c r="I484" s="82"/>
      <c r="J484" s="41"/>
    </row>
    <row r="485" spans="1:10" ht="11.25" customHeight="1">
      <c r="A485" s="43">
        <v>4</v>
      </c>
      <c r="B485" s="42" t="s">
        <v>299</v>
      </c>
      <c r="C485" s="82">
        <v>0</v>
      </c>
      <c r="D485" s="82"/>
      <c r="E485" s="82"/>
      <c r="F485" s="82"/>
      <c r="G485" s="82"/>
      <c r="H485" s="82"/>
      <c r="I485" s="82"/>
      <c r="J485" s="41"/>
    </row>
    <row r="486" spans="1:10" ht="11.25" customHeight="1">
      <c r="A486" s="43">
        <v>5</v>
      </c>
      <c r="B486" s="42" t="s">
        <v>306</v>
      </c>
      <c r="C486" s="79">
        <v>2805</v>
      </c>
      <c r="D486" s="79"/>
      <c r="E486" s="79"/>
      <c r="F486" s="79"/>
      <c r="G486" s="79"/>
      <c r="H486" s="79"/>
      <c r="I486" s="79"/>
      <c r="J486" s="41"/>
    </row>
    <row r="487" spans="1:10" ht="11.25" customHeight="1">
      <c r="A487" s="43">
        <v>5</v>
      </c>
      <c r="B487" s="42" t="s">
        <v>305</v>
      </c>
      <c r="C487" s="79">
        <v>2603</v>
      </c>
      <c r="D487" s="79"/>
      <c r="E487" s="79"/>
      <c r="F487" s="79"/>
      <c r="G487" s="79"/>
      <c r="H487" s="79"/>
      <c r="I487" s="79"/>
      <c r="J487" s="41"/>
    </row>
    <row r="488" spans="1:10" ht="11.25" customHeight="1">
      <c r="A488" s="43">
        <v>5</v>
      </c>
      <c r="B488" s="42" t="s">
        <v>307</v>
      </c>
      <c r="C488" s="79">
        <v>2132</v>
      </c>
      <c r="D488" s="79"/>
      <c r="E488" s="79"/>
      <c r="F488" s="79"/>
      <c r="G488" s="79"/>
      <c r="H488" s="79"/>
      <c r="I488" s="79"/>
      <c r="J488" s="41"/>
    </row>
    <row r="489" spans="1:10" ht="11.25" customHeight="1">
      <c r="A489" s="43">
        <v>5</v>
      </c>
      <c r="B489" s="42" t="s">
        <v>304</v>
      </c>
      <c r="C489" s="79">
        <v>2045</v>
      </c>
      <c r="D489" s="79"/>
      <c r="E489" s="79"/>
      <c r="F489" s="79"/>
      <c r="G489" s="79"/>
      <c r="H489" s="79"/>
      <c r="I489" s="79"/>
      <c r="J489" s="41"/>
    </row>
    <row r="490" spans="1:10" ht="11.25" customHeight="1">
      <c r="A490" s="43">
        <v>5</v>
      </c>
      <c r="B490" s="42" t="s">
        <v>298</v>
      </c>
      <c r="C490" s="79">
        <v>1895</v>
      </c>
      <c r="D490" s="79"/>
      <c r="E490" s="79"/>
      <c r="F490" s="79"/>
      <c r="G490" s="79"/>
      <c r="H490" s="79"/>
      <c r="I490" s="79"/>
      <c r="J490" s="41"/>
    </row>
    <row r="491" spans="1:10" ht="11.25" customHeight="1">
      <c r="A491" s="43">
        <v>5</v>
      </c>
      <c r="B491" s="42" t="s">
        <v>303</v>
      </c>
      <c r="C491" s="79">
        <v>1289</v>
      </c>
      <c r="D491" s="79"/>
      <c r="E491" s="79"/>
      <c r="F491" s="79"/>
      <c r="G491" s="79"/>
      <c r="H491" s="79"/>
      <c r="I491" s="79"/>
      <c r="J491" s="41"/>
    </row>
    <row r="492" spans="1:10" ht="11.25" customHeight="1">
      <c r="A492" s="43">
        <v>5</v>
      </c>
      <c r="B492" s="42" t="s">
        <v>302</v>
      </c>
      <c r="C492" s="82">
        <v>0</v>
      </c>
      <c r="D492" s="82"/>
      <c r="E492" s="82"/>
      <c r="F492" s="82"/>
      <c r="G492" s="82"/>
      <c r="H492" s="82"/>
      <c r="I492" s="82"/>
      <c r="J492" s="41"/>
    </row>
    <row r="493" spans="1:10" ht="11.25" customHeight="1">
      <c r="A493" s="43">
        <v>5</v>
      </c>
      <c r="B493" s="42" t="s">
        <v>301</v>
      </c>
      <c r="C493" s="82">
        <v>0</v>
      </c>
      <c r="D493" s="82"/>
      <c r="E493" s="82"/>
      <c r="F493" s="82"/>
      <c r="G493" s="82"/>
      <c r="H493" s="82"/>
      <c r="I493" s="82"/>
      <c r="J493" s="41"/>
    </row>
    <row r="494" spans="1:10" ht="11.25" customHeight="1">
      <c r="A494" s="43">
        <v>5</v>
      </c>
      <c r="B494" s="42" t="s">
        <v>300</v>
      </c>
      <c r="C494" s="82">
        <v>0</v>
      </c>
      <c r="D494" s="82"/>
      <c r="E494" s="82"/>
      <c r="F494" s="82"/>
      <c r="G494" s="82"/>
      <c r="H494" s="82"/>
      <c r="I494" s="82"/>
      <c r="J494" s="41"/>
    </row>
    <row r="495" spans="1:10" ht="11.25" customHeight="1">
      <c r="A495" s="43">
        <v>5</v>
      </c>
      <c r="B495" s="42" t="s">
        <v>299</v>
      </c>
      <c r="C495" s="82">
        <v>0</v>
      </c>
      <c r="D495" s="82"/>
      <c r="E495" s="82"/>
      <c r="F495" s="82"/>
      <c r="G495" s="82"/>
      <c r="H495" s="82"/>
      <c r="I495" s="82"/>
      <c r="J495" s="41"/>
    </row>
    <row r="496" spans="1:10" ht="11.25" customHeight="1">
      <c r="A496" s="43">
        <v>6</v>
      </c>
      <c r="B496" s="42" t="s">
        <v>306</v>
      </c>
      <c r="C496" s="79">
        <v>3100</v>
      </c>
      <c r="D496" s="79"/>
      <c r="E496" s="79"/>
      <c r="F496" s="79"/>
      <c r="G496" s="79"/>
      <c r="H496" s="79"/>
      <c r="I496" s="79"/>
      <c r="J496" s="41"/>
    </row>
    <row r="497" spans="1:10" ht="11.25" customHeight="1">
      <c r="A497" s="43">
        <v>6</v>
      </c>
      <c r="B497" s="42" t="s">
        <v>305</v>
      </c>
      <c r="C497" s="79">
        <v>2790</v>
      </c>
      <c r="D497" s="79"/>
      <c r="E497" s="79"/>
      <c r="F497" s="79"/>
      <c r="G497" s="79"/>
      <c r="H497" s="79"/>
      <c r="I497" s="79"/>
      <c r="J497" s="41"/>
    </row>
    <row r="498" spans="1:10" ht="11.25" customHeight="1">
      <c r="A498" s="43">
        <v>6</v>
      </c>
      <c r="B498" s="42" t="s">
        <v>307</v>
      </c>
      <c r="C498" s="79">
        <v>2281</v>
      </c>
      <c r="D498" s="79"/>
      <c r="E498" s="79"/>
      <c r="F498" s="79"/>
      <c r="G498" s="79"/>
      <c r="H498" s="79"/>
      <c r="I498" s="79"/>
      <c r="J498" s="41"/>
    </row>
    <row r="499" spans="1:10" ht="11.25" customHeight="1">
      <c r="A499" s="43">
        <v>6</v>
      </c>
      <c r="B499" s="42" t="s">
        <v>304</v>
      </c>
      <c r="C499" s="79">
        <v>2271</v>
      </c>
      <c r="D499" s="79"/>
      <c r="E499" s="79"/>
      <c r="F499" s="79"/>
      <c r="G499" s="79"/>
      <c r="H499" s="79"/>
      <c r="I499" s="79"/>
      <c r="J499" s="41"/>
    </row>
    <row r="500" spans="1:10" ht="11.25" customHeight="1">
      <c r="A500" s="43">
        <v>6</v>
      </c>
      <c r="B500" s="42" t="s">
        <v>298</v>
      </c>
      <c r="C500" s="79">
        <v>1982</v>
      </c>
      <c r="D500" s="79"/>
      <c r="E500" s="79"/>
      <c r="F500" s="79"/>
      <c r="G500" s="79"/>
      <c r="H500" s="79"/>
      <c r="I500" s="79"/>
      <c r="J500" s="41"/>
    </row>
    <row r="501" spans="1:10" ht="11.25" customHeight="1">
      <c r="A501" s="43">
        <v>6</v>
      </c>
      <c r="B501" s="42" t="s">
        <v>303</v>
      </c>
      <c r="C501" s="82">
        <v>0</v>
      </c>
      <c r="D501" s="82"/>
      <c r="E501" s="82"/>
      <c r="F501" s="82"/>
      <c r="G501" s="82"/>
      <c r="H501" s="82"/>
      <c r="I501" s="82"/>
      <c r="J501" s="41"/>
    </row>
    <row r="502" spans="1:10" ht="11.25" customHeight="1">
      <c r="A502" s="43">
        <v>6</v>
      </c>
      <c r="B502" s="42" t="s">
        <v>302</v>
      </c>
      <c r="C502" s="82">
        <v>0</v>
      </c>
      <c r="D502" s="82"/>
      <c r="E502" s="82"/>
      <c r="F502" s="82"/>
      <c r="G502" s="82"/>
      <c r="H502" s="82"/>
      <c r="I502" s="82"/>
      <c r="J502" s="41"/>
    </row>
    <row r="503" spans="1:10" ht="11.25" customHeight="1">
      <c r="A503" s="43">
        <v>6</v>
      </c>
      <c r="B503" s="42" t="s">
        <v>301</v>
      </c>
      <c r="C503" s="82">
        <v>0</v>
      </c>
      <c r="D503" s="82"/>
      <c r="E503" s="82"/>
      <c r="F503" s="82"/>
      <c r="G503" s="82"/>
      <c r="H503" s="82"/>
      <c r="I503" s="82"/>
      <c r="J503" s="41"/>
    </row>
    <row r="504" spans="1:10" ht="11.25" customHeight="1">
      <c r="A504" s="43">
        <v>6</v>
      </c>
      <c r="B504" s="42" t="s">
        <v>300</v>
      </c>
      <c r="C504" s="82">
        <v>0</v>
      </c>
      <c r="D504" s="82"/>
      <c r="E504" s="82"/>
      <c r="F504" s="82"/>
      <c r="G504" s="82"/>
      <c r="H504" s="82"/>
      <c r="I504" s="82"/>
      <c r="J504" s="41"/>
    </row>
    <row r="505" spans="1:10" ht="11.25" customHeight="1">
      <c r="A505" s="43">
        <v>6</v>
      </c>
      <c r="B505" s="42" t="s">
        <v>299</v>
      </c>
      <c r="C505" s="82">
        <v>0</v>
      </c>
      <c r="D505" s="82"/>
      <c r="E505" s="82"/>
      <c r="F505" s="82"/>
      <c r="G505" s="82"/>
      <c r="H505" s="82"/>
      <c r="I505" s="82"/>
      <c r="J505" s="41"/>
    </row>
    <row r="506" spans="1:10" ht="11.25" customHeight="1">
      <c r="A506" s="43">
        <v>7</v>
      </c>
      <c r="B506" s="42" t="s">
        <v>307</v>
      </c>
      <c r="C506" s="79">
        <v>3387</v>
      </c>
      <c r="D506" s="79"/>
      <c r="E506" s="79"/>
      <c r="F506" s="79"/>
      <c r="G506" s="79"/>
      <c r="H506" s="79"/>
      <c r="I506" s="79"/>
      <c r="J506" s="41"/>
    </row>
    <row r="507" spans="1:10" ht="11.25" customHeight="1">
      <c r="A507" s="43">
        <v>7</v>
      </c>
      <c r="B507" s="42" t="s">
        <v>306</v>
      </c>
      <c r="C507" s="79">
        <v>3199</v>
      </c>
      <c r="D507" s="79"/>
      <c r="E507" s="79"/>
      <c r="F507" s="79"/>
      <c r="G507" s="79"/>
      <c r="H507" s="79"/>
      <c r="I507" s="79"/>
      <c r="J507" s="41"/>
    </row>
    <row r="508" spans="1:10" ht="11.25" customHeight="1">
      <c r="A508" s="43">
        <v>7</v>
      </c>
      <c r="B508" s="42" t="s">
        <v>305</v>
      </c>
      <c r="C508" s="79">
        <v>3071</v>
      </c>
      <c r="D508" s="79"/>
      <c r="E508" s="79"/>
      <c r="F508" s="79"/>
      <c r="G508" s="79"/>
      <c r="H508" s="79"/>
      <c r="I508" s="79"/>
      <c r="J508" s="41"/>
    </row>
    <row r="509" spans="1:10" ht="11.25" customHeight="1">
      <c r="A509" s="43">
        <v>7</v>
      </c>
      <c r="B509" s="42" t="s">
        <v>304</v>
      </c>
      <c r="C509" s="79">
        <v>2512</v>
      </c>
      <c r="D509" s="79"/>
      <c r="E509" s="79"/>
      <c r="F509" s="79"/>
      <c r="G509" s="79"/>
      <c r="H509" s="79"/>
      <c r="I509" s="79"/>
      <c r="J509" s="41"/>
    </row>
    <row r="510" spans="1:10" ht="11.25" customHeight="1">
      <c r="A510" s="43">
        <v>7</v>
      </c>
      <c r="B510" s="42" t="s">
        <v>303</v>
      </c>
      <c r="C510" s="82">
        <v>0</v>
      </c>
      <c r="D510" s="82"/>
      <c r="E510" s="82"/>
      <c r="F510" s="82"/>
      <c r="G510" s="82"/>
      <c r="H510" s="82"/>
      <c r="I510" s="82"/>
      <c r="J510" s="41"/>
    </row>
    <row r="511" spans="1:10" ht="11.25" customHeight="1">
      <c r="A511" s="43">
        <v>7</v>
      </c>
      <c r="B511" s="42" t="s">
        <v>302</v>
      </c>
      <c r="C511" s="82">
        <v>0</v>
      </c>
      <c r="D511" s="82"/>
      <c r="E511" s="82"/>
      <c r="F511" s="82"/>
      <c r="G511" s="82"/>
      <c r="H511" s="82"/>
      <c r="I511" s="82"/>
      <c r="J511" s="41"/>
    </row>
    <row r="512" spans="1:10" ht="11.25" customHeight="1">
      <c r="A512" s="43">
        <v>7</v>
      </c>
      <c r="B512" s="42" t="s">
        <v>301</v>
      </c>
      <c r="C512" s="82">
        <v>0</v>
      </c>
      <c r="D512" s="82"/>
      <c r="E512" s="82"/>
      <c r="F512" s="82"/>
      <c r="G512" s="82"/>
      <c r="H512" s="82"/>
      <c r="I512" s="82"/>
      <c r="J512" s="41"/>
    </row>
    <row r="513" spans="1:10" ht="11.25" customHeight="1">
      <c r="A513" s="43">
        <v>7</v>
      </c>
      <c r="B513" s="42" t="s">
        <v>300</v>
      </c>
      <c r="C513" s="82">
        <v>0</v>
      </c>
      <c r="D513" s="82"/>
      <c r="E513" s="82"/>
      <c r="F513" s="82"/>
      <c r="G513" s="82"/>
      <c r="H513" s="82"/>
      <c r="I513" s="82"/>
      <c r="J513" s="41"/>
    </row>
    <row r="514" spans="1:10" ht="11.25" customHeight="1">
      <c r="A514" s="43">
        <v>7</v>
      </c>
      <c r="B514" s="42" t="s">
        <v>299</v>
      </c>
      <c r="C514" s="82">
        <v>0</v>
      </c>
      <c r="D514" s="82"/>
      <c r="E514" s="82"/>
      <c r="F514" s="82"/>
      <c r="G514" s="82"/>
      <c r="H514" s="82"/>
      <c r="I514" s="82"/>
      <c r="J514" s="41"/>
    </row>
    <row r="515" spans="1:10" ht="18.5" customHeight="1">
      <c r="A515" s="43">
        <v>7</v>
      </c>
      <c r="B515" s="42" t="s">
        <v>298</v>
      </c>
      <c r="C515" s="82">
        <v>0</v>
      </c>
      <c r="D515" s="82"/>
      <c r="E515" s="82"/>
      <c r="F515" s="82"/>
      <c r="G515" s="82"/>
      <c r="H515" s="82"/>
      <c r="I515" s="82"/>
      <c r="J515" s="44"/>
    </row>
    <row r="516" spans="1:10" ht="23" customHeight="1">
      <c r="A516" s="84" t="s">
        <v>224</v>
      </c>
      <c r="B516" s="84"/>
      <c r="C516" s="84"/>
      <c r="D516" s="84"/>
      <c r="E516" s="84"/>
      <c r="F516" s="84"/>
      <c r="G516" s="84"/>
      <c r="H516" s="84"/>
      <c r="I516" s="84"/>
      <c r="J516" s="84"/>
    </row>
    <row r="517" spans="1:10" ht="35" customHeight="1">
      <c r="A517" s="76" t="s">
        <v>297</v>
      </c>
      <c r="B517" s="76"/>
      <c r="C517" s="76"/>
      <c r="D517" s="76"/>
      <c r="E517" s="76"/>
      <c r="F517" s="76"/>
      <c r="G517" s="76"/>
      <c r="H517" s="76"/>
      <c r="I517" s="76"/>
      <c r="J517" s="76"/>
    </row>
    <row r="518" spans="1:10" ht="34.049999999999997" customHeight="1">
      <c r="A518" s="76" t="s">
        <v>296</v>
      </c>
      <c r="B518" s="76"/>
      <c r="C518" s="76"/>
      <c r="D518" s="76"/>
      <c r="E518" s="76"/>
      <c r="F518" s="76"/>
      <c r="G518" s="76"/>
      <c r="H518" s="76"/>
      <c r="I518" s="76"/>
      <c r="J518" s="76"/>
    </row>
    <row r="519" spans="1:10" ht="35" customHeight="1">
      <c r="A519" s="76" t="s">
        <v>295</v>
      </c>
      <c r="B519" s="76"/>
      <c r="C519" s="76"/>
      <c r="D519" s="76"/>
      <c r="E519" s="76"/>
      <c r="F519" s="76"/>
      <c r="G519" s="76"/>
      <c r="H519" s="76"/>
      <c r="I519" s="76"/>
      <c r="J519" s="76"/>
    </row>
    <row r="520" spans="1:10" ht="34.049999999999997" customHeight="1">
      <c r="A520" s="76" t="s">
        <v>294</v>
      </c>
      <c r="B520" s="76"/>
      <c r="C520" s="76"/>
      <c r="D520" s="76"/>
      <c r="E520" s="76"/>
      <c r="F520" s="76"/>
      <c r="G520" s="76"/>
      <c r="H520" s="76"/>
      <c r="I520" s="76"/>
      <c r="J520" s="76"/>
    </row>
    <row r="521" spans="1:10" ht="35" customHeight="1">
      <c r="A521" s="76" t="s">
        <v>293</v>
      </c>
      <c r="B521" s="76"/>
      <c r="C521" s="76"/>
      <c r="D521" s="76"/>
      <c r="E521" s="76"/>
      <c r="F521" s="76"/>
      <c r="G521" s="76"/>
      <c r="H521" s="76"/>
      <c r="I521" s="76"/>
      <c r="J521" s="76"/>
    </row>
    <row r="522" spans="1:10" ht="34.049999999999997" customHeight="1">
      <c r="A522" s="76" t="s">
        <v>292</v>
      </c>
      <c r="B522" s="76"/>
      <c r="C522" s="76"/>
      <c r="D522" s="76"/>
      <c r="E522" s="76"/>
      <c r="F522" s="76"/>
      <c r="G522" s="76"/>
      <c r="H522" s="76"/>
      <c r="I522" s="76"/>
      <c r="J522" s="76"/>
    </row>
    <row r="523" spans="1:10" ht="24" customHeight="1">
      <c r="A523" s="76" t="s">
        <v>291</v>
      </c>
      <c r="B523" s="76"/>
      <c r="C523" s="76"/>
      <c r="D523" s="76"/>
      <c r="E523" s="76"/>
      <c r="F523" s="76"/>
      <c r="G523" s="76"/>
      <c r="H523" s="76"/>
      <c r="I523" s="76"/>
      <c r="J523" s="76"/>
    </row>
    <row r="524" spans="1:10" ht="22.05" customHeight="1">
      <c r="A524" s="76" t="s">
        <v>290</v>
      </c>
      <c r="B524" s="76"/>
      <c r="C524" s="76"/>
      <c r="D524" s="76"/>
      <c r="E524" s="76"/>
      <c r="F524" s="76"/>
      <c r="G524" s="76"/>
      <c r="H524" s="76"/>
      <c r="I524" s="76"/>
      <c r="J524" s="76"/>
    </row>
    <row r="525" spans="1:10" ht="23" customHeight="1">
      <c r="A525" s="76" t="s">
        <v>289</v>
      </c>
      <c r="B525" s="76"/>
      <c r="C525" s="76"/>
      <c r="D525" s="76"/>
      <c r="E525" s="76"/>
      <c r="F525" s="76"/>
      <c r="G525" s="76"/>
      <c r="H525" s="76"/>
      <c r="I525" s="76"/>
      <c r="J525" s="76"/>
    </row>
    <row r="526" spans="1:10" ht="35" customHeight="1">
      <c r="A526" s="76" t="s">
        <v>288</v>
      </c>
      <c r="B526" s="76"/>
      <c r="C526" s="76"/>
      <c r="D526" s="76"/>
      <c r="E526" s="76"/>
      <c r="F526" s="76"/>
      <c r="G526" s="76"/>
      <c r="H526" s="76"/>
      <c r="I526" s="76"/>
      <c r="J526" s="76"/>
    </row>
    <row r="527" spans="1:10" ht="56.55" customHeight="1">
      <c r="A527" s="77" t="s">
        <v>287</v>
      </c>
      <c r="B527" s="77"/>
      <c r="C527" s="77"/>
      <c r="D527" s="77"/>
      <c r="E527" s="77"/>
      <c r="F527" s="77"/>
      <c r="G527" s="77"/>
      <c r="H527" s="77"/>
      <c r="I527" s="77"/>
      <c r="J527" s="77"/>
    </row>
    <row r="528" spans="1:10" ht="11.25" customHeight="1">
      <c r="A528" s="78" t="s">
        <v>237</v>
      </c>
      <c r="B528" s="78"/>
      <c r="C528" s="78" t="s">
        <v>244</v>
      </c>
      <c r="D528" s="78"/>
      <c r="E528" s="58" t="s">
        <v>238</v>
      </c>
      <c r="F528" s="57" t="s">
        <v>236</v>
      </c>
      <c r="G528" s="56" t="s">
        <v>243</v>
      </c>
      <c r="H528" s="55" t="s">
        <v>242</v>
      </c>
      <c r="I528" s="54" t="s">
        <v>241</v>
      </c>
      <c r="J528" s="41"/>
    </row>
    <row r="529" spans="1:10" ht="11.25" customHeight="1">
      <c r="A529" s="75" t="s">
        <v>285</v>
      </c>
      <c r="B529" s="75"/>
      <c r="C529" s="75" t="s">
        <v>240</v>
      </c>
      <c r="D529" s="75"/>
      <c r="E529" s="50">
        <v>1</v>
      </c>
      <c r="F529" s="53">
        <v>4499</v>
      </c>
      <c r="G529" s="49">
        <v>0</v>
      </c>
      <c r="H529" s="60">
        <v>4078.000000001</v>
      </c>
      <c r="I529" s="47">
        <v>0.75534784099999996</v>
      </c>
      <c r="J529" s="41"/>
    </row>
    <row r="530" spans="1:10" ht="11.25" customHeight="1">
      <c r="A530" s="75" t="s">
        <v>286</v>
      </c>
      <c r="B530" s="75"/>
      <c r="C530" s="75" t="s">
        <v>240</v>
      </c>
      <c r="D530" s="75"/>
      <c r="E530" s="52">
        <v>10</v>
      </c>
      <c r="F530" s="53">
        <v>4013.0258601320002</v>
      </c>
      <c r="G530" s="53">
        <v>1400.0718951179999</v>
      </c>
      <c r="H530" s="60">
        <v>3611.3093682949998</v>
      </c>
      <c r="I530" s="47">
        <v>1</v>
      </c>
      <c r="J530" s="41"/>
    </row>
    <row r="531" spans="1:10" ht="11.25" customHeight="1">
      <c r="A531" s="75" t="s">
        <v>284</v>
      </c>
      <c r="B531" s="75"/>
      <c r="C531" s="75" t="s">
        <v>239</v>
      </c>
      <c r="D531" s="75"/>
      <c r="E531" s="52">
        <v>10</v>
      </c>
      <c r="F531" s="53">
        <v>2891.5827758680002</v>
      </c>
      <c r="G531" s="53">
        <v>1400.0718951179999</v>
      </c>
      <c r="H531" s="60">
        <v>3611.3093682949998</v>
      </c>
      <c r="I531" s="47">
        <v>0</v>
      </c>
      <c r="J531" s="41"/>
    </row>
    <row r="532" spans="1:10" ht="11.25" customHeight="1">
      <c r="A532" s="75" t="s">
        <v>279</v>
      </c>
      <c r="B532" s="75"/>
      <c r="C532" s="75" t="s">
        <v>239</v>
      </c>
      <c r="D532" s="75"/>
      <c r="E532" s="50">
        <v>9</v>
      </c>
      <c r="F532" s="53">
        <v>1495.8904207390001</v>
      </c>
      <c r="G532" s="49">
        <v>740.62725973900001</v>
      </c>
      <c r="H532" s="60">
        <v>3831.1242467540001</v>
      </c>
      <c r="I532" s="47">
        <v>0</v>
      </c>
      <c r="J532" s="41"/>
    </row>
    <row r="533" spans="1:10" ht="11.25" customHeight="1">
      <c r="A533" s="75" t="s">
        <v>278</v>
      </c>
      <c r="B533" s="75"/>
      <c r="C533" s="75" t="s">
        <v>239</v>
      </c>
      <c r="D533" s="75"/>
      <c r="E533" s="50">
        <v>8</v>
      </c>
      <c r="F533" s="49">
        <v>805.77637647699999</v>
      </c>
      <c r="G533" s="49">
        <v>487.40237723199999</v>
      </c>
      <c r="H533" s="60">
        <v>3915.5325409229999</v>
      </c>
      <c r="I533" s="47">
        <v>0</v>
      </c>
      <c r="J533" s="41"/>
    </row>
    <row r="534" spans="1:10" ht="11.25" customHeight="1">
      <c r="A534" s="75" t="s">
        <v>280</v>
      </c>
      <c r="B534" s="75"/>
      <c r="C534" s="75" t="s">
        <v>239</v>
      </c>
      <c r="D534" s="75"/>
      <c r="E534" s="50">
        <v>7</v>
      </c>
      <c r="F534" s="49">
        <v>761.50403766600004</v>
      </c>
      <c r="G534" s="49">
        <v>363.73563831199999</v>
      </c>
      <c r="H534" s="60">
        <v>3956.7547872300001</v>
      </c>
      <c r="I534" s="47">
        <v>0</v>
      </c>
      <c r="J534" s="41"/>
    </row>
    <row r="535" spans="1:10" ht="11.25" customHeight="1">
      <c r="A535" s="75" t="s">
        <v>283</v>
      </c>
      <c r="B535" s="75"/>
      <c r="C535" s="75" t="s">
        <v>239</v>
      </c>
      <c r="D535" s="75"/>
      <c r="E535" s="50">
        <v>5</v>
      </c>
      <c r="F535" s="49">
        <v>551.07698330799997</v>
      </c>
      <c r="G535" s="49">
        <v>229.538883156</v>
      </c>
      <c r="H535" s="60">
        <v>4001.4870389490002</v>
      </c>
      <c r="I535" s="47">
        <v>0</v>
      </c>
      <c r="J535" s="41"/>
    </row>
    <row r="536" spans="1:10" ht="11.25" customHeight="1">
      <c r="A536" s="75" t="s">
        <v>277</v>
      </c>
      <c r="B536" s="75"/>
      <c r="C536" s="75" t="s">
        <v>239</v>
      </c>
      <c r="D536" s="75"/>
      <c r="E536" s="50">
        <v>4</v>
      </c>
      <c r="F536" s="49">
        <v>439.40304389400001</v>
      </c>
      <c r="G536" s="49">
        <v>152.866996105</v>
      </c>
      <c r="H536" s="60">
        <v>4027.0443346319998</v>
      </c>
      <c r="I536" s="47">
        <v>0</v>
      </c>
      <c r="J536" s="41"/>
    </row>
    <row r="537" spans="1:10" ht="11.25" customHeight="1">
      <c r="A537" s="75" t="s">
        <v>282</v>
      </c>
      <c r="B537" s="75"/>
      <c r="C537" s="75" t="s">
        <v>239</v>
      </c>
      <c r="D537" s="75"/>
      <c r="E537" s="50">
        <v>3</v>
      </c>
      <c r="F537" s="49">
        <v>332.60355730600003</v>
      </c>
      <c r="G537" s="49">
        <v>66.697975960999997</v>
      </c>
      <c r="H537" s="60">
        <v>4055.7673413470002</v>
      </c>
      <c r="I537" s="47">
        <v>0</v>
      </c>
      <c r="J537" s="41"/>
    </row>
    <row r="538" spans="1:10" ht="11.25" customHeight="1">
      <c r="A538" s="75" t="s">
        <v>281</v>
      </c>
      <c r="B538" s="75"/>
      <c r="C538" s="75" t="s">
        <v>239</v>
      </c>
      <c r="D538" s="75"/>
      <c r="E538" s="50">
        <v>2</v>
      </c>
      <c r="F538" s="49">
        <v>262.1704823</v>
      </c>
      <c r="G538" s="49">
        <v>40.986441300000003</v>
      </c>
      <c r="H538" s="60">
        <v>4064.3378529010001</v>
      </c>
      <c r="I538" s="47">
        <v>0</v>
      </c>
      <c r="J538" s="41"/>
    </row>
    <row r="539" spans="1:10" ht="22.5" customHeight="1">
      <c r="A539" s="46" t="s">
        <v>238</v>
      </c>
      <c r="B539" s="45" t="s">
        <v>237</v>
      </c>
      <c r="C539" s="83" t="s">
        <v>236</v>
      </c>
      <c r="D539" s="83"/>
      <c r="E539" s="83"/>
      <c r="F539" s="83"/>
      <c r="G539" s="83"/>
      <c r="H539" s="83"/>
      <c r="I539" s="83"/>
      <c r="J539" s="44"/>
    </row>
    <row r="540" spans="1:10" ht="11.25" customHeight="1">
      <c r="A540" s="43">
        <v>1</v>
      </c>
      <c r="B540" s="42" t="s">
        <v>285</v>
      </c>
      <c r="C540" s="79">
        <v>4499</v>
      </c>
      <c r="D540" s="79"/>
      <c r="E540" s="79"/>
      <c r="F540" s="79"/>
      <c r="G540" s="79"/>
      <c r="H540" s="79"/>
      <c r="I540" s="79"/>
      <c r="J540" s="41"/>
    </row>
    <row r="541" spans="1:10" ht="11.25" customHeight="1">
      <c r="A541" s="43">
        <v>1</v>
      </c>
      <c r="B541" s="42" t="s">
        <v>286</v>
      </c>
      <c r="C541" s="79">
        <v>2517</v>
      </c>
      <c r="D541" s="79"/>
      <c r="E541" s="79"/>
      <c r="F541" s="79"/>
      <c r="G541" s="79"/>
      <c r="H541" s="79"/>
      <c r="I541" s="79"/>
      <c r="J541" s="41"/>
    </row>
    <row r="542" spans="1:10" ht="11.25" customHeight="1">
      <c r="A542" s="43">
        <v>1</v>
      </c>
      <c r="B542" s="42" t="s">
        <v>284</v>
      </c>
      <c r="C542" s="79">
        <v>1653</v>
      </c>
      <c r="D542" s="79"/>
      <c r="E542" s="79"/>
      <c r="F542" s="79"/>
      <c r="G542" s="79"/>
      <c r="H542" s="79"/>
      <c r="I542" s="79"/>
      <c r="J542" s="41"/>
    </row>
    <row r="543" spans="1:10" ht="11.25" customHeight="1">
      <c r="A543" s="43">
        <v>1</v>
      </c>
      <c r="B543" s="42" t="s">
        <v>279</v>
      </c>
      <c r="C543" s="79">
        <v>1058</v>
      </c>
      <c r="D543" s="79"/>
      <c r="E543" s="79"/>
      <c r="F543" s="79"/>
      <c r="G543" s="79"/>
      <c r="H543" s="79"/>
      <c r="I543" s="79"/>
      <c r="J543" s="41"/>
    </row>
    <row r="544" spans="1:10" ht="11.25" customHeight="1">
      <c r="A544" s="43">
        <v>1</v>
      </c>
      <c r="B544" s="42" t="s">
        <v>278</v>
      </c>
      <c r="C544" s="85">
        <v>617</v>
      </c>
      <c r="D544" s="85"/>
      <c r="E544" s="85"/>
      <c r="F544" s="85"/>
      <c r="G544" s="85"/>
      <c r="H544" s="85"/>
      <c r="I544" s="85"/>
    </row>
    <row r="545" spans="1:9" ht="11.25" customHeight="1">
      <c r="A545" s="43">
        <v>1</v>
      </c>
      <c r="B545" s="42" t="s">
        <v>280</v>
      </c>
      <c r="C545" s="85">
        <v>509</v>
      </c>
      <c r="D545" s="85"/>
      <c r="E545" s="85"/>
      <c r="F545" s="85"/>
      <c r="G545" s="85"/>
      <c r="H545" s="85"/>
      <c r="I545" s="85"/>
    </row>
    <row r="546" spans="1:9" ht="11.25" customHeight="1">
      <c r="A546" s="43">
        <v>1</v>
      </c>
      <c r="B546" s="42" t="s">
        <v>283</v>
      </c>
      <c r="C546" s="85">
        <v>465</v>
      </c>
      <c r="D546" s="85"/>
      <c r="E546" s="85"/>
      <c r="F546" s="85"/>
      <c r="G546" s="85"/>
      <c r="H546" s="85"/>
      <c r="I546" s="85"/>
    </row>
    <row r="547" spans="1:9" ht="11.25" customHeight="1">
      <c r="A547" s="43">
        <v>1</v>
      </c>
      <c r="B547" s="42" t="s">
        <v>277</v>
      </c>
      <c r="C547" s="85">
        <v>375</v>
      </c>
      <c r="D547" s="85"/>
      <c r="E547" s="85"/>
      <c r="F547" s="85"/>
      <c r="G547" s="85"/>
      <c r="H547" s="85"/>
      <c r="I547" s="85"/>
    </row>
    <row r="548" spans="1:9" ht="11.25" customHeight="1">
      <c r="A548" s="43">
        <v>1</v>
      </c>
      <c r="B548" s="42" t="s">
        <v>282</v>
      </c>
      <c r="C548" s="85">
        <v>288</v>
      </c>
      <c r="D548" s="85"/>
      <c r="E548" s="85"/>
      <c r="F548" s="85"/>
      <c r="G548" s="85"/>
      <c r="H548" s="85"/>
      <c r="I548" s="85"/>
    </row>
    <row r="549" spans="1:9" ht="11.25" customHeight="1">
      <c r="A549" s="43">
        <v>1</v>
      </c>
      <c r="B549" s="42" t="s">
        <v>281</v>
      </c>
      <c r="C549" s="85">
        <v>253</v>
      </c>
      <c r="D549" s="85"/>
      <c r="E549" s="85"/>
      <c r="F549" s="85"/>
      <c r="G549" s="85"/>
      <c r="H549" s="85"/>
      <c r="I549" s="85"/>
    </row>
    <row r="550" spans="1:9" ht="11.25" customHeight="1">
      <c r="A550" s="43">
        <v>2</v>
      </c>
      <c r="B550" s="42" t="s">
        <v>285</v>
      </c>
      <c r="C550" s="86">
        <v>4078.0000013499998</v>
      </c>
      <c r="D550" s="86"/>
      <c r="E550" s="86"/>
      <c r="F550" s="86"/>
      <c r="G550" s="86"/>
      <c r="H550" s="86"/>
      <c r="I550" s="86"/>
    </row>
    <row r="551" spans="1:9" ht="11.25" customHeight="1">
      <c r="A551" s="43">
        <v>2</v>
      </c>
      <c r="B551" s="42" t="s">
        <v>286</v>
      </c>
      <c r="C551" s="86">
        <v>2732.1320286499999</v>
      </c>
      <c r="D551" s="86"/>
      <c r="E551" s="86"/>
      <c r="F551" s="86"/>
      <c r="G551" s="86"/>
      <c r="H551" s="86"/>
      <c r="I551" s="86"/>
    </row>
    <row r="552" spans="1:9" ht="11.25" customHeight="1">
      <c r="A552" s="43">
        <v>2</v>
      </c>
      <c r="B552" s="42" t="s">
        <v>284</v>
      </c>
      <c r="C552" s="86">
        <v>1670.9666592000001</v>
      </c>
      <c r="D552" s="86"/>
      <c r="E552" s="86"/>
      <c r="F552" s="86"/>
      <c r="G552" s="86"/>
      <c r="H552" s="86"/>
      <c r="I552" s="86"/>
    </row>
    <row r="553" spans="1:9" ht="11.25" customHeight="1">
      <c r="A553" s="43">
        <v>2</v>
      </c>
      <c r="B553" s="42" t="s">
        <v>279</v>
      </c>
      <c r="C553" s="86">
        <v>1061.743054</v>
      </c>
      <c r="D553" s="86"/>
      <c r="E553" s="86"/>
      <c r="F553" s="86"/>
      <c r="G553" s="86"/>
      <c r="H553" s="86"/>
      <c r="I553" s="86"/>
    </row>
    <row r="554" spans="1:9" ht="11.25" customHeight="1">
      <c r="A554" s="43">
        <v>2</v>
      </c>
      <c r="B554" s="42" t="s">
        <v>278</v>
      </c>
      <c r="C554" s="85">
        <v>625.2347188</v>
      </c>
      <c r="D554" s="85"/>
      <c r="E554" s="85"/>
      <c r="F554" s="85"/>
      <c r="G554" s="85"/>
      <c r="H554" s="85"/>
      <c r="I554" s="85"/>
    </row>
    <row r="555" spans="1:9" ht="11.25" customHeight="1">
      <c r="A555" s="43">
        <v>2</v>
      </c>
      <c r="B555" s="42" t="s">
        <v>280</v>
      </c>
      <c r="C555" s="85">
        <v>606.22582765000004</v>
      </c>
      <c r="D555" s="85"/>
      <c r="E555" s="85"/>
      <c r="F555" s="85"/>
      <c r="G555" s="85"/>
      <c r="H555" s="85"/>
      <c r="I555" s="85"/>
    </row>
    <row r="556" spans="1:9" ht="11.25" customHeight="1">
      <c r="A556" s="43">
        <v>2</v>
      </c>
      <c r="B556" s="42" t="s">
        <v>283</v>
      </c>
      <c r="C556" s="85">
        <v>471.17603910000003</v>
      </c>
      <c r="D556" s="85"/>
      <c r="E556" s="85"/>
      <c r="F556" s="85"/>
      <c r="G556" s="85"/>
      <c r="H556" s="85"/>
      <c r="I556" s="85"/>
    </row>
    <row r="557" spans="1:9" ht="11.25" customHeight="1">
      <c r="A557" s="43">
        <v>2</v>
      </c>
      <c r="B557" s="42" t="s">
        <v>277</v>
      </c>
      <c r="C557" s="85">
        <v>392.59235380000001</v>
      </c>
      <c r="D557" s="85"/>
      <c r="E557" s="85"/>
      <c r="F557" s="85"/>
      <c r="G557" s="85"/>
      <c r="H557" s="85"/>
      <c r="I557" s="85"/>
    </row>
    <row r="558" spans="1:9" ht="11.25" customHeight="1">
      <c r="A558" s="43">
        <v>2</v>
      </c>
      <c r="B558" s="42" t="s">
        <v>282</v>
      </c>
      <c r="C558" s="85">
        <v>292.77239385000001</v>
      </c>
      <c r="D558" s="85"/>
      <c r="E558" s="85"/>
      <c r="F558" s="85"/>
      <c r="G558" s="85"/>
      <c r="H558" s="85"/>
      <c r="I558" s="85"/>
    </row>
    <row r="559" spans="1:9" ht="11.25" customHeight="1">
      <c r="A559" s="43">
        <v>2</v>
      </c>
      <c r="B559" s="42" t="s">
        <v>281</v>
      </c>
      <c r="C559" s="85">
        <v>262.1704823</v>
      </c>
      <c r="D559" s="85"/>
      <c r="E559" s="85"/>
      <c r="F559" s="85"/>
      <c r="G559" s="85"/>
      <c r="H559" s="85"/>
      <c r="I559" s="85"/>
    </row>
    <row r="560" spans="1:9" ht="11.25" customHeight="1">
      <c r="A560" s="43">
        <v>3</v>
      </c>
      <c r="B560" s="42" t="s">
        <v>285</v>
      </c>
      <c r="C560" s="86">
        <v>4092.3428517900002</v>
      </c>
      <c r="D560" s="86"/>
      <c r="E560" s="86"/>
      <c r="F560" s="86"/>
      <c r="G560" s="86"/>
      <c r="H560" s="86"/>
      <c r="I560" s="86"/>
    </row>
    <row r="561" spans="1:9" ht="11.25" customHeight="1">
      <c r="A561" s="43">
        <v>3</v>
      </c>
      <c r="B561" s="42" t="s">
        <v>286</v>
      </c>
      <c r="C561" s="86">
        <v>2770.1084228099999</v>
      </c>
      <c r="D561" s="86"/>
      <c r="E561" s="86"/>
      <c r="F561" s="86"/>
      <c r="G561" s="86"/>
      <c r="H561" s="86"/>
      <c r="I561" s="86"/>
    </row>
    <row r="562" spans="1:9" ht="11.25" customHeight="1">
      <c r="A562" s="43">
        <v>3</v>
      </c>
      <c r="B562" s="42" t="s">
        <v>284</v>
      </c>
      <c r="C562" s="86">
        <v>1712.2259983429999</v>
      </c>
      <c r="D562" s="86"/>
      <c r="E562" s="86"/>
      <c r="F562" s="86"/>
      <c r="G562" s="86"/>
      <c r="H562" s="86"/>
      <c r="I562" s="86"/>
    </row>
    <row r="563" spans="1:9" ht="11.25" customHeight="1">
      <c r="A563" s="43">
        <v>3</v>
      </c>
      <c r="B563" s="42" t="s">
        <v>279</v>
      </c>
      <c r="C563" s="86">
        <v>1086.2509745079999</v>
      </c>
      <c r="D563" s="86"/>
      <c r="E563" s="86"/>
      <c r="F563" s="86"/>
      <c r="G563" s="86"/>
      <c r="H563" s="86"/>
      <c r="I563" s="86"/>
    </row>
    <row r="564" spans="1:9" ht="11.25" customHeight="1">
      <c r="A564" s="43">
        <v>3</v>
      </c>
      <c r="B564" s="42" t="s">
        <v>278</v>
      </c>
      <c r="C564" s="85">
        <v>640.178240415</v>
      </c>
      <c r="D564" s="85"/>
      <c r="E564" s="85"/>
      <c r="F564" s="85"/>
      <c r="G564" s="85"/>
      <c r="H564" s="85"/>
      <c r="I564" s="85"/>
    </row>
    <row r="565" spans="1:9" ht="11.25" customHeight="1">
      <c r="A565" s="43">
        <v>3</v>
      </c>
      <c r="B565" s="42" t="s">
        <v>280</v>
      </c>
      <c r="C565" s="85">
        <v>632.40984042000002</v>
      </c>
      <c r="D565" s="85"/>
      <c r="E565" s="85"/>
      <c r="F565" s="85"/>
      <c r="G565" s="85"/>
      <c r="H565" s="85"/>
      <c r="I565" s="85"/>
    </row>
    <row r="566" spans="1:9" ht="11.25" customHeight="1">
      <c r="A566" s="43">
        <v>3</v>
      </c>
      <c r="B566" s="42" t="s">
        <v>283</v>
      </c>
      <c r="C566" s="85">
        <v>483.56968787599999</v>
      </c>
      <c r="D566" s="85"/>
      <c r="E566" s="85"/>
      <c r="F566" s="85"/>
      <c r="G566" s="85"/>
      <c r="H566" s="85"/>
      <c r="I566" s="85"/>
    </row>
    <row r="567" spans="1:9" ht="11.25" customHeight="1">
      <c r="A567" s="43">
        <v>3</v>
      </c>
      <c r="B567" s="42" t="s">
        <v>277</v>
      </c>
      <c r="C567" s="85">
        <v>417.61245057100001</v>
      </c>
      <c r="D567" s="85"/>
      <c r="E567" s="85"/>
      <c r="F567" s="85"/>
      <c r="G567" s="85"/>
      <c r="H567" s="85"/>
      <c r="I567" s="85"/>
    </row>
    <row r="568" spans="1:9" ht="11.25" customHeight="1">
      <c r="A568" s="43">
        <v>3</v>
      </c>
      <c r="B568" s="42" t="s">
        <v>282</v>
      </c>
      <c r="C568" s="85">
        <v>332.60355730600003</v>
      </c>
      <c r="D568" s="85"/>
      <c r="E568" s="85"/>
      <c r="F568" s="85"/>
      <c r="G568" s="85"/>
      <c r="H568" s="85"/>
      <c r="I568" s="85"/>
    </row>
    <row r="569" spans="1:9" ht="11.25" customHeight="1">
      <c r="A569" s="43">
        <v>3</v>
      </c>
      <c r="B569" s="42" t="s">
        <v>281</v>
      </c>
      <c r="C569" s="85">
        <v>0</v>
      </c>
      <c r="D569" s="85"/>
      <c r="E569" s="85"/>
      <c r="F569" s="85"/>
      <c r="G569" s="85"/>
      <c r="H569" s="85"/>
      <c r="I569" s="85"/>
    </row>
    <row r="570" spans="1:9" ht="11.25" customHeight="1">
      <c r="A570" s="43">
        <v>4</v>
      </c>
      <c r="B570" s="42" t="s">
        <v>285</v>
      </c>
      <c r="C570" s="86">
        <v>4096.9517343039997</v>
      </c>
      <c r="D570" s="86"/>
      <c r="E570" s="86"/>
      <c r="F570" s="86"/>
      <c r="G570" s="86"/>
      <c r="H570" s="86"/>
      <c r="I570" s="86"/>
    </row>
    <row r="571" spans="1:9" ht="11.25" customHeight="1">
      <c r="A571" s="43">
        <v>4</v>
      </c>
      <c r="B571" s="42" t="s">
        <v>286</v>
      </c>
      <c r="C571" s="86">
        <v>2832.166292681</v>
      </c>
      <c r="D571" s="86"/>
      <c r="E571" s="86"/>
      <c r="F571" s="86"/>
      <c r="G571" s="86"/>
      <c r="H571" s="86"/>
      <c r="I571" s="86"/>
    </row>
    <row r="572" spans="1:9" ht="11.25" customHeight="1">
      <c r="A572" s="43">
        <v>4</v>
      </c>
      <c r="B572" s="42" t="s">
        <v>284</v>
      </c>
      <c r="C572" s="86">
        <v>1760.98429541</v>
      </c>
      <c r="D572" s="86"/>
      <c r="E572" s="86"/>
      <c r="F572" s="86"/>
      <c r="G572" s="86"/>
      <c r="H572" s="86"/>
      <c r="I572" s="86"/>
    </row>
    <row r="573" spans="1:9" ht="11.25" customHeight="1">
      <c r="A573" s="43">
        <v>4</v>
      </c>
      <c r="B573" s="42" t="s">
        <v>279</v>
      </c>
      <c r="C573" s="86">
        <v>1127.8156075659999</v>
      </c>
      <c r="D573" s="86"/>
      <c r="E573" s="86"/>
      <c r="F573" s="86"/>
      <c r="G573" s="86"/>
      <c r="H573" s="86"/>
      <c r="I573" s="86"/>
    </row>
    <row r="574" spans="1:9" ht="11.25" customHeight="1">
      <c r="A574" s="43">
        <v>4</v>
      </c>
      <c r="B574" s="42" t="s">
        <v>278</v>
      </c>
      <c r="C574" s="85">
        <v>660.36402497899996</v>
      </c>
      <c r="D574" s="85"/>
      <c r="E574" s="85"/>
      <c r="F574" s="85"/>
      <c r="G574" s="85"/>
      <c r="H574" s="85"/>
      <c r="I574" s="85"/>
    </row>
    <row r="575" spans="1:9" ht="11.25" customHeight="1">
      <c r="A575" s="43">
        <v>4</v>
      </c>
      <c r="B575" s="42" t="s">
        <v>280</v>
      </c>
      <c r="C575" s="85">
        <v>651.01521947000003</v>
      </c>
      <c r="D575" s="85"/>
      <c r="E575" s="85"/>
      <c r="F575" s="85"/>
      <c r="G575" s="85"/>
      <c r="H575" s="85"/>
      <c r="I575" s="85"/>
    </row>
    <row r="576" spans="1:9" ht="11.25" customHeight="1">
      <c r="A576" s="43">
        <v>4</v>
      </c>
      <c r="B576" s="42" t="s">
        <v>283</v>
      </c>
      <c r="C576" s="85">
        <v>512.43278559099997</v>
      </c>
      <c r="D576" s="85"/>
      <c r="E576" s="85"/>
      <c r="F576" s="85"/>
      <c r="G576" s="85"/>
      <c r="H576" s="85"/>
      <c r="I576" s="85"/>
    </row>
    <row r="577" spans="1:9" ht="11.25" customHeight="1">
      <c r="A577" s="43">
        <v>4</v>
      </c>
      <c r="B577" s="42" t="s">
        <v>277</v>
      </c>
      <c r="C577" s="85">
        <v>439.40304389400001</v>
      </c>
      <c r="D577" s="85"/>
      <c r="E577" s="85"/>
      <c r="F577" s="85"/>
      <c r="G577" s="85"/>
      <c r="H577" s="85"/>
      <c r="I577" s="85"/>
    </row>
    <row r="578" spans="1:9" ht="11.25" customHeight="1">
      <c r="A578" s="43">
        <v>4</v>
      </c>
      <c r="B578" s="42" t="s">
        <v>282</v>
      </c>
      <c r="C578" s="85">
        <v>0</v>
      </c>
      <c r="D578" s="85"/>
      <c r="E578" s="85"/>
      <c r="F578" s="85"/>
      <c r="G578" s="85"/>
      <c r="H578" s="85"/>
      <c r="I578" s="85"/>
    </row>
    <row r="579" spans="1:9" ht="11.25" customHeight="1">
      <c r="A579" s="43">
        <v>4</v>
      </c>
      <c r="B579" s="42" t="s">
        <v>281</v>
      </c>
      <c r="C579" s="85">
        <v>0</v>
      </c>
      <c r="D579" s="85"/>
      <c r="E579" s="85"/>
      <c r="F579" s="85"/>
      <c r="G579" s="85"/>
      <c r="H579" s="85"/>
      <c r="I579" s="85"/>
    </row>
    <row r="580" spans="1:9" ht="11.25" customHeight="1">
      <c r="A580" s="43">
        <v>5</v>
      </c>
      <c r="B580" s="42" t="s">
        <v>285</v>
      </c>
      <c r="C580" s="86">
        <v>4078.9664567549999</v>
      </c>
      <c r="D580" s="86"/>
      <c r="E580" s="86"/>
      <c r="F580" s="86"/>
      <c r="G580" s="86"/>
      <c r="H580" s="86"/>
      <c r="I580" s="86"/>
    </row>
    <row r="581" spans="1:9" ht="11.25" customHeight="1">
      <c r="A581" s="43">
        <v>5</v>
      </c>
      <c r="B581" s="42" t="s">
        <v>286</v>
      </c>
      <c r="C581" s="86">
        <v>2937.2325159319998</v>
      </c>
      <c r="D581" s="86"/>
      <c r="E581" s="86"/>
      <c r="F581" s="86"/>
      <c r="G581" s="86"/>
      <c r="H581" s="86"/>
      <c r="I581" s="86"/>
    </row>
    <row r="582" spans="1:9" ht="11.25" customHeight="1">
      <c r="A582" s="43">
        <v>5</v>
      </c>
      <c r="B582" s="42" t="s">
        <v>284</v>
      </c>
      <c r="C582" s="86">
        <v>1840.391201315</v>
      </c>
      <c r="D582" s="86"/>
      <c r="E582" s="86"/>
      <c r="F582" s="86"/>
      <c r="G582" s="86"/>
      <c r="H582" s="86"/>
      <c r="I582" s="86"/>
    </row>
    <row r="583" spans="1:9" ht="11.25" customHeight="1">
      <c r="A583" s="43">
        <v>5</v>
      </c>
      <c r="B583" s="42" t="s">
        <v>279</v>
      </c>
      <c r="C583" s="86">
        <v>1189.8379529589999</v>
      </c>
      <c r="D583" s="86"/>
      <c r="E583" s="86"/>
      <c r="F583" s="86"/>
      <c r="G583" s="86"/>
      <c r="H583" s="86"/>
      <c r="I583" s="86"/>
    </row>
    <row r="584" spans="1:9" ht="11.25" customHeight="1">
      <c r="A584" s="43">
        <v>5</v>
      </c>
      <c r="B584" s="42" t="s">
        <v>278</v>
      </c>
      <c r="C584" s="85">
        <v>716.91583409199995</v>
      </c>
      <c r="D584" s="85"/>
      <c r="E584" s="85"/>
      <c r="F584" s="85"/>
      <c r="G584" s="85"/>
      <c r="H584" s="85"/>
      <c r="I584" s="85"/>
    </row>
    <row r="585" spans="1:9" ht="11.25" customHeight="1">
      <c r="A585" s="43">
        <v>5</v>
      </c>
      <c r="B585" s="42" t="s">
        <v>280</v>
      </c>
      <c r="C585" s="85">
        <v>690.04017248299999</v>
      </c>
      <c r="D585" s="85"/>
      <c r="E585" s="85"/>
      <c r="F585" s="85"/>
      <c r="G585" s="85"/>
      <c r="H585" s="85"/>
      <c r="I585" s="85"/>
    </row>
    <row r="586" spans="1:9" ht="11.25" customHeight="1">
      <c r="A586" s="43">
        <v>5</v>
      </c>
      <c r="B586" s="42" t="s">
        <v>283</v>
      </c>
      <c r="C586" s="85">
        <v>551.07698330799997</v>
      </c>
      <c r="D586" s="85"/>
      <c r="E586" s="85"/>
      <c r="F586" s="85"/>
      <c r="G586" s="85"/>
      <c r="H586" s="85"/>
      <c r="I586" s="85"/>
    </row>
    <row r="587" spans="1:9" ht="11.25" customHeight="1">
      <c r="A587" s="43">
        <v>5</v>
      </c>
      <c r="B587" s="42" t="s">
        <v>282</v>
      </c>
      <c r="C587" s="85">
        <v>0</v>
      </c>
      <c r="D587" s="85"/>
      <c r="E587" s="85"/>
      <c r="F587" s="85"/>
      <c r="G587" s="85"/>
      <c r="H587" s="85"/>
      <c r="I587" s="85"/>
    </row>
    <row r="588" spans="1:9" ht="11.25" customHeight="1">
      <c r="A588" s="43">
        <v>5</v>
      </c>
      <c r="B588" s="42" t="s">
        <v>281</v>
      </c>
      <c r="C588" s="85">
        <v>0</v>
      </c>
      <c r="D588" s="85"/>
      <c r="E588" s="85"/>
      <c r="F588" s="85"/>
      <c r="G588" s="85"/>
      <c r="H588" s="85"/>
      <c r="I588" s="85"/>
    </row>
    <row r="589" spans="1:9" ht="11.25" customHeight="1">
      <c r="A589" s="43">
        <v>5</v>
      </c>
      <c r="B589" s="42" t="s">
        <v>277</v>
      </c>
      <c r="C589" s="85">
        <v>0</v>
      </c>
      <c r="D589" s="85"/>
      <c r="E589" s="85"/>
      <c r="F589" s="85"/>
      <c r="G589" s="85"/>
      <c r="H589" s="85"/>
      <c r="I589" s="85"/>
    </row>
    <row r="590" spans="1:9" ht="11.25" customHeight="1">
      <c r="A590" s="43">
        <v>6</v>
      </c>
      <c r="B590" s="42" t="s">
        <v>285</v>
      </c>
      <c r="C590" s="86">
        <v>4057.6028249999999</v>
      </c>
      <c r="D590" s="86"/>
      <c r="E590" s="86"/>
      <c r="F590" s="86"/>
      <c r="G590" s="86"/>
      <c r="H590" s="86"/>
      <c r="I590" s="86"/>
    </row>
    <row r="591" spans="1:9" ht="11.25" customHeight="1">
      <c r="A591" s="43">
        <v>6</v>
      </c>
      <c r="B591" s="42" t="s">
        <v>286</v>
      </c>
      <c r="C591" s="86">
        <v>3082.5137410000002</v>
      </c>
      <c r="D591" s="86"/>
      <c r="E591" s="86"/>
      <c r="F591" s="86"/>
      <c r="G591" s="86"/>
      <c r="H591" s="86"/>
      <c r="I591" s="86"/>
    </row>
    <row r="592" spans="1:9" ht="11.25" customHeight="1">
      <c r="A592" s="43">
        <v>6</v>
      </c>
      <c r="B592" s="42" t="s">
        <v>284</v>
      </c>
      <c r="C592" s="86">
        <v>1975.6303069999999</v>
      </c>
      <c r="D592" s="86"/>
      <c r="E592" s="86"/>
      <c r="F592" s="86"/>
      <c r="G592" s="86"/>
      <c r="H592" s="86"/>
      <c r="I592" s="86"/>
    </row>
    <row r="593" spans="1:9" ht="11.25" customHeight="1">
      <c r="A593" s="43">
        <v>6</v>
      </c>
      <c r="B593" s="42" t="s">
        <v>279</v>
      </c>
      <c r="C593" s="86">
        <v>1245.1575767500001</v>
      </c>
      <c r="D593" s="86"/>
      <c r="E593" s="86"/>
      <c r="F593" s="86"/>
      <c r="G593" s="86"/>
      <c r="H593" s="86"/>
      <c r="I593" s="86"/>
    </row>
    <row r="594" spans="1:9" ht="11.25" customHeight="1">
      <c r="A594" s="43">
        <v>6</v>
      </c>
      <c r="B594" s="42" t="s">
        <v>278</v>
      </c>
      <c r="C594" s="85">
        <v>783.948351</v>
      </c>
      <c r="D594" s="85"/>
      <c r="E594" s="85"/>
      <c r="F594" s="85"/>
      <c r="G594" s="85"/>
      <c r="H594" s="85"/>
      <c r="I594" s="85"/>
    </row>
    <row r="595" spans="1:9" ht="11.25" customHeight="1">
      <c r="A595" s="43">
        <v>6</v>
      </c>
      <c r="B595" s="42" t="s">
        <v>280</v>
      </c>
      <c r="C595" s="85">
        <v>738.31200224999998</v>
      </c>
      <c r="D595" s="85"/>
      <c r="E595" s="85"/>
      <c r="F595" s="85"/>
      <c r="G595" s="85"/>
      <c r="H595" s="85"/>
      <c r="I595" s="85"/>
    </row>
    <row r="596" spans="1:9" ht="11.25" customHeight="1">
      <c r="A596" s="43">
        <v>6</v>
      </c>
      <c r="B596" s="42" t="s">
        <v>283</v>
      </c>
      <c r="C596" s="85">
        <v>0</v>
      </c>
      <c r="D596" s="85"/>
      <c r="E596" s="85"/>
      <c r="F596" s="85"/>
      <c r="G596" s="85"/>
      <c r="H596" s="85"/>
      <c r="I596" s="85"/>
    </row>
    <row r="597" spans="1:9" ht="11.25" customHeight="1">
      <c r="A597" s="43">
        <v>6</v>
      </c>
      <c r="B597" s="42" t="s">
        <v>282</v>
      </c>
      <c r="C597" s="85">
        <v>0</v>
      </c>
      <c r="D597" s="85"/>
      <c r="E597" s="85"/>
      <c r="F597" s="85"/>
      <c r="G597" s="85"/>
      <c r="H597" s="85"/>
      <c r="I597" s="85"/>
    </row>
    <row r="598" spans="1:9" ht="11.25" customHeight="1">
      <c r="A598" s="43">
        <v>6</v>
      </c>
      <c r="B598" s="42" t="s">
        <v>281</v>
      </c>
      <c r="C598" s="85">
        <v>0</v>
      </c>
      <c r="D598" s="85"/>
      <c r="E598" s="85"/>
      <c r="F598" s="85"/>
      <c r="G598" s="85"/>
      <c r="H598" s="85"/>
      <c r="I598" s="85"/>
    </row>
    <row r="599" spans="1:9" ht="11.25" customHeight="1">
      <c r="A599" s="43">
        <v>6</v>
      </c>
      <c r="B599" s="42" t="s">
        <v>277</v>
      </c>
      <c r="C599" s="85">
        <v>0</v>
      </c>
      <c r="D599" s="85"/>
      <c r="E599" s="85"/>
      <c r="F599" s="85"/>
      <c r="G599" s="85"/>
      <c r="H599" s="85"/>
      <c r="I599" s="85"/>
    </row>
    <row r="600" spans="1:9" ht="11.25" customHeight="1">
      <c r="A600" s="43">
        <v>7</v>
      </c>
      <c r="B600" s="42" t="s">
        <v>285</v>
      </c>
      <c r="C600" s="86">
        <v>3961.0549362000002</v>
      </c>
      <c r="D600" s="86"/>
      <c r="E600" s="86"/>
      <c r="F600" s="86"/>
      <c r="G600" s="86"/>
      <c r="H600" s="86"/>
      <c r="I600" s="86"/>
    </row>
    <row r="601" spans="1:9" ht="11.25" customHeight="1">
      <c r="A601" s="43">
        <v>7</v>
      </c>
      <c r="B601" s="42" t="s">
        <v>286</v>
      </c>
      <c r="C601" s="86">
        <v>3133.5403273359998</v>
      </c>
      <c r="D601" s="86"/>
      <c r="E601" s="86"/>
      <c r="F601" s="86"/>
      <c r="G601" s="86"/>
      <c r="H601" s="86"/>
      <c r="I601" s="86"/>
    </row>
    <row r="602" spans="1:9" ht="11.25" customHeight="1">
      <c r="A602" s="43">
        <v>7</v>
      </c>
      <c r="B602" s="42" t="s">
        <v>284</v>
      </c>
      <c r="C602" s="86">
        <v>1981.135590872</v>
      </c>
      <c r="D602" s="86"/>
      <c r="E602" s="86"/>
      <c r="F602" s="86"/>
      <c r="G602" s="86"/>
      <c r="H602" s="86"/>
      <c r="I602" s="86"/>
    </row>
    <row r="603" spans="1:9" ht="11.25" customHeight="1">
      <c r="A603" s="43">
        <v>7</v>
      </c>
      <c r="B603" s="42" t="s">
        <v>279</v>
      </c>
      <c r="C603" s="86">
        <v>1246.5338977179999</v>
      </c>
      <c r="D603" s="86"/>
      <c r="E603" s="86"/>
      <c r="F603" s="86"/>
      <c r="G603" s="86"/>
      <c r="H603" s="86"/>
      <c r="I603" s="86"/>
    </row>
    <row r="604" spans="1:9" ht="11.25" customHeight="1">
      <c r="A604" s="43">
        <v>7</v>
      </c>
      <c r="B604" s="42" t="s">
        <v>278</v>
      </c>
      <c r="C604" s="85">
        <v>786.495571896</v>
      </c>
      <c r="D604" s="85"/>
      <c r="E604" s="85"/>
      <c r="F604" s="85"/>
      <c r="G604" s="85"/>
      <c r="H604" s="85"/>
      <c r="I604" s="85"/>
    </row>
    <row r="605" spans="1:9" ht="11.25" customHeight="1">
      <c r="A605" s="43">
        <v>7</v>
      </c>
      <c r="B605" s="42" t="s">
        <v>280</v>
      </c>
      <c r="C605" s="85">
        <v>761.50403766600004</v>
      </c>
      <c r="D605" s="85"/>
      <c r="E605" s="85"/>
      <c r="F605" s="85"/>
      <c r="G605" s="85"/>
      <c r="H605" s="85"/>
      <c r="I605" s="85"/>
    </row>
    <row r="606" spans="1:9" ht="11.25" customHeight="1">
      <c r="A606" s="43">
        <v>7</v>
      </c>
      <c r="B606" s="42" t="s">
        <v>283</v>
      </c>
      <c r="C606" s="85">
        <v>0</v>
      </c>
      <c r="D606" s="85"/>
      <c r="E606" s="85"/>
      <c r="F606" s="85"/>
      <c r="G606" s="85"/>
      <c r="H606" s="85"/>
      <c r="I606" s="85"/>
    </row>
    <row r="607" spans="1:9" ht="11.25" customHeight="1">
      <c r="A607" s="43">
        <v>7</v>
      </c>
      <c r="B607" s="42" t="s">
        <v>282</v>
      </c>
      <c r="C607" s="85">
        <v>0</v>
      </c>
      <c r="D607" s="85"/>
      <c r="E607" s="85"/>
      <c r="F607" s="85"/>
      <c r="G607" s="85"/>
      <c r="H607" s="85"/>
      <c r="I607" s="85"/>
    </row>
    <row r="608" spans="1:9" ht="11.25" customHeight="1">
      <c r="A608" s="43">
        <v>7</v>
      </c>
      <c r="B608" s="42" t="s">
        <v>281</v>
      </c>
      <c r="C608" s="85">
        <v>0</v>
      </c>
      <c r="D608" s="85"/>
      <c r="E608" s="85"/>
      <c r="F608" s="85"/>
      <c r="G608" s="85"/>
      <c r="H608" s="85"/>
      <c r="I608" s="85"/>
    </row>
    <row r="609" spans="1:9" ht="11.25" customHeight="1">
      <c r="A609" s="43">
        <v>7</v>
      </c>
      <c r="B609" s="42" t="s">
        <v>277</v>
      </c>
      <c r="C609" s="85">
        <v>0</v>
      </c>
      <c r="D609" s="85"/>
      <c r="E609" s="85"/>
      <c r="F609" s="85"/>
      <c r="G609" s="85"/>
      <c r="H609" s="85"/>
      <c r="I609" s="85"/>
    </row>
    <row r="610" spans="1:9" ht="11.25" customHeight="1">
      <c r="A610" s="43">
        <v>8</v>
      </c>
      <c r="B610" s="42" t="s">
        <v>285</v>
      </c>
      <c r="C610" s="86">
        <v>4208.471742279</v>
      </c>
      <c r="D610" s="86"/>
      <c r="E610" s="86"/>
      <c r="F610" s="86"/>
      <c r="G610" s="86"/>
      <c r="H610" s="86"/>
      <c r="I610" s="86"/>
    </row>
    <row r="611" spans="1:9" ht="11.25" customHeight="1">
      <c r="A611" s="43">
        <v>8</v>
      </c>
      <c r="B611" s="42" t="s">
        <v>286</v>
      </c>
      <c r="C611" s="86">
        <v>3439.5132196220002</v>
      </c>
      <c r="D611" s="86"/>
      <c r="E611" s="86"/>
      <c r="F611" s="86"/>
      <c r="G611" s="86"/>
      <c r="H611" s="86"/>
      <c r="I611" s="86"/>
    </row>
    <row r="612" spans="1:9" ht="11.25" customHeight="1">
      <c r="A612" s="43">
        <v>8</v>
      </c>
      <c r="B612" s="42" t="s">
        <v>284</v>
      </c>
      <c r="C612" s="86">
        <v>2024.7108902330001</v>
      </c>
      <c r="D612" s="86"/>
      <c r="E612" s="86"/>
      <c r="F612" s="86"/>
      <c r="G612" s="86"/>
      <c r="H612" s="86"/>
      <c r="I612" s="86"/>
    </row>
    <row r="613" spans="1:9" ht="11.25" customHeight="1">
      <c r="A613" s="43">
        <v>8</v>
      </c>
      <c r="B613" s="42" t="s">
        <v>279</v>
      </c>
      <c r="C613" s="86">
        <v>1268.1253941570001</v>
      </c>
      <c r="D613" s="86"/>
      <c r="E613" s="86"/>
      <c r="F613" s="86"/>
      <c r="G613" s="86"/>
      <c r="H613" s="86"/>
      <c r="I613" s="86"/>
    </row>
    <row r="614" spans="1:9" ht="11.25" customHeight="1">
      <c r="A614" s="43">
        <v>8</v>
      </c>
      <c r="B614" s="42" t="s">
        <v>278</v>
      </c>
      <c r="C614" s="85">
        <v>805.77637647699999</v>
      </c>
      <c r="D614" s="85"/>
      <c r="E614" s="85"/>
      <c r="F614" s="85"/>
      <c r="G614" s="85"/>
      <c r="H614" s="85"/>
      <c r="I614" s="85"/>
    </row>
    <row r="615" spans="1:9" ht="11.25" customHeight="1">
      <c r="A615" s="43">
        <v>8</v>
      </c>
      <c r="B615" s="42" t="s">
        <v>283</v>
      </c>
      <c r="C615" s="85">
        <v>0</v>
      </c>
      <c r="D615" s="85"/>
      <c r="E615" s="85"/>
      <c r="F615" s="85"/>
      <c r="G615" s="85"/>
      <c r="H615" s="85"/>
      <c r="I615" s="85"/>
    </row>
    <row r="616" spans="1:9" ht="11.25" customHeight="1">
      <c r="A616" s="43">
        <v>8</v>
      </c>
      <c r="B616" s="42" t="s">
        <v>282</v>
      </c>
      <c r="C616" s="85">
        <v>0</v>
      </c>
      <c r="D616" s="85"/>
      <c r="E616" s="85"/>
      <c r="F616" s="85"/>
      <c r="G616" s="85"/>
      <c r="H616" s="85"/>
      <c r="I616" s="85"/>
    </row>
    <row r="617" spans="1:9" ht="11.25" customHeight="1">
      <c r="A617" s="43">
        <v>8</v>
      </c>
      <c r="B617" s="42" t="s">
        <v>281</v>
      </c>
      <c r="C617" s="85">
        <v>0</v>
      </c>
      <c r="D617" s="85"/>
      <c r="E617" s="85"/>
      <c r="F617" s="85"/>
      <c r="G617" s="85"/>
      <c r="H617" s="85"/>
      <c r="I617" s="85"/>
    </row>
    <row r="618" spans="1:9" ht="11.25" customHeight="1">
      <c r="A618" s="43">
        <v>8</v>
      </c>
      <c r="B618" s="42" t="s">
        <v>280</v>
      </c>
      <c r="C618" s="85">
        <v>0</v>
      </c>
      <c r="D618" s="85"/>
      <c r="E618" s="85"/>
      <c r="F618" s="85"/>
      <c r="G618" s="85"/>
      <c r="H618" s="85"/>
      <c r="I618" s="85"/>
    </row>
    <row r="619" spans="1:9" ht="11.25" customHeight="1">
      <c r="A619" s="43">
        <v>8</v>
      </c>
      <c r="B619" s="42" t="s">
        <v>277</v>
      </c>
      <c r="C619" s="85">
        <v>0</v>
      </c>
      <c r="D619" s="85"/>
      <c r="E619" s="85"/>
      <c r="F619" s="85"/>
      <c r="G619" s="85"/>
      <c r="H619" s="85"/>
      <c r="I619" s="85"/>
    </row>
    <row r="620" spans="1:9" ht="11.25" customHeight="1">
      <c r="A620" s="43">
        <v>9</v>
      </c>
      <c r="B620" s="42" t="s">
        <v>285</v>
      </c>
      <c r="C620" s="86">
        <v>3972.7107525920001</v>
      </c>
      <c r="D620" s="86"/>
      <c r="E620" s="86"/>
      <c r="F620" s="86"/>
      <c r="G620" s="86"/>
      <c r="H620" s="86"/>
      <c r="I620" s="86"/>
    </row>
    <row r="621" spans="1:9" ht="11.25" customHeight="1">
      <c r="A621" s="43">
        <v>9</v>
      </c>
      <c r="B621" s="42" t="s">
        <v>286</v>
      </c>
      <c r="C621" s="86">
        <v>3743.061778627</v>
      </c>
      <c r="D621" s="86"/>
      <c r="E621" s="86"/>
      <c r="F621" s="86"/>
      <c r="G621" s="86"/>
      <c r="H621" s="86"/>
      <c r="I621" s="86"/>
    </row>
    <row r="622" spans="1:9" ht="11.25" customHeight="1">
      <c r="A622" s="43">
        <v>9</v>
      </c>
      <c r="B622" s="42" t="s">
        <v>284</v>
      </c>
      <c r="C622" s="86">
        <v>2281.7097883030001</v>
      </c>
      <c r="D622" s="86"/>
      <c r="E622" s="86"/>
      <c r="F622" s="86"/>
      <c r="G622" s="86"/>
      <c r="H622" s="86"/>
      <c r="I622" s="86"/>
    </row>
    <row r="623" spans="1:9" ht="11.25" customHeight="1">
      <c r="A623" s="43">
        <v>9</v>
      </c>
      <c r="B623" s="42" t="s">
        <v>279</v>
      </c>
      <c r="C623" s="86">
        <v>1495.8904207390001</v>
      </c>
      <c r="D623" s="86"/>
      <c r="E623" s="86"/>
      <c r="F623" s="86"/>
      <c r="G623" s="86"/>
      <c r="H623" s="86"/>
      <c r="I623" s="86"/>
    </row>
    <row r="624" spans="1:9" ht="11.25" customHeight="1">
      <c r="A624" s="43">
        <v>9</v>
      </c>
      <c r="B624" s="42" t="s">
        <v>283</v>
      </c>
      <c r="C624" s="85">
        <v>0</v>
      </c>
      <c r="D624" s="85"/>
      <c r="E624" s="85"/>
      <c r="F624" s="85"/>
      <c r="G624" s="85"/>
      <c r="H624" s="85"/>
      <c r="I624" s="85"/>
    </row>
    <row r="625" spans="1:10" ht="11.25" customHeight="1">
      <c r="A625" s="43">
        <v>9</v>
      </c>
      <c r="B625" s="42" t="s">
        <v>282</v>
      </c>
      <c r="C625" s="85">
        <v>0</v>
      </c>
      <c r="D625" s="85"/>
      <c r="E625" s="85"/>
      <c r="F625" s="85"/>
      <c r="G625" s="85"/>
      <c r="H625" s="85"/>
      <c r="I625" s="85"/>
    </row>
    <row r="626" spans="1:10" ht="11.25" customHeight="1">
      <c r="A626" s="43">
        <v>9</v>
      </c>
      <c r="B626" s="42" t="s">
        <v>281</v>
      </c>
      <c r="C626" s="85">
        <v>0</v>
      </c>
      <c r="D626" s="85"/>
      <c r="E626" s="85"/>
      <c r="F626" s="85"/>
      <c r="G626" s="85"/>
      <c r="H626" s="85"/>
      <c r="I626" s="85"/>
    </row>
    <row r="627" spans="1:10" ht="11.25" customHeight="1">
      <c r="A627" s="43">
        <v>9</v>
      </c>
      <c r="B627" s="42" t="s">
        <v>280</v>
      </c>
      <c r="C627" s="82">
        <v>0</v>
      </c>
      <c r="D627" s="82"/>
      <c r="E627" s="82"/>
      <c r="F627" s="82"/>
      <c r="G627" s="82"/>
      <c r="H627" s="82"/>
      <c r="I627" s="82"/>
      <c r="J627" s="41"/>
    </row>
    <row r="628" spans="1:10" ht="11.25" customHeight="1">
      <c r="A628" s="43">
        <v>9</v>
      </c>
      <c r="B628" s="42" t="s">
        <v>278</v>
      </c>
      <c r="C628" s="82">
        <v>0</v>
      </c>
      <c r="D628" s="82"/>
      <c r="E628" s="82"/>
      <c r="F628" s="82"/>
      <c r="G628" s="82"/>
      <c r="H628" s="82"/>
      <c r="I628" s="82"/>
      <c r="J628" s="41"/>
    </row>
    <row r="629" spans="1:10" ht="11.25" customHeight="1">
      <c r="A629" s="43">
        <v>9</v>
      </c>
      <c r="B629" s="42" t="s">
        <v>277</v>
      </c>
      <c r="C629" s="82">
        <v>0</v>
      </c>
      <c r="D629" s="82"/>
      <c r="E629" s="82"/>
      <c r="F629" s="82"/>
      <c r="G629" s="82"/>
      <c r="H629" s="82"/>
      <c r="I629" s="82"/>
      <c r="J629" s="41"/>
    </row>
    <row r="630" spans="1:10" ht="11.25" customHeight="1">
      <c r="A630" s="43">
        <v>10</v>
      </c>
      <c r="B630" s="42" t="s">
        <v>286</v>
      </c>
      <c r="C630" s="79">
        <v>4013.0258601320002</v>
      </c>
      <c r="D630" s="79"/>
      <c r="E630" s="79"/>
      <c r="F630" s="79"/>
      <c r="G630" s="79"/>
      <c r="H630" s="79"/>
      <c r="I630" s="79"/>
      <c r="J630" s="41"/>
    </row>
    <row r="631" spans="1:10" ht="11.25" customHeight="1">
      <c r="A631" s="43">
        <v>10</v>
      </c>
      <c r="B631" s="42" t="s">
        <v>285</v>
      </c>
      <c r="C631" s="79">
        <v>3929.3194688819999</v>
      </c>
      <c r="D631" s="79"/>
      <c r="E631" s="79"/>
      <c r="F631" s="79"/>
      <c r="G631" s="79"/>
      <c r="H631" s="79"/>
      <c r="I631" s="79"/>
      <c r="J631" s="41"/>
    </row>
    <row r="632" spans="1:10" ht="11.25" customHeight="1">
      <c r="A632" s="43">
        <v>10</v>
      </c>
      <c r="B632" s="42" t="s">
        <v>284</v>
      </c>
      <c r="C632" s="79">
        <v>2891.5827758680002</v>
      </c>
      <c r="D632" s="79"/>
      <c r="E632" s="79"/>
      <c r="F632" s="79"/>
      <c r="G632" s="79"/>
      <c r="H632" s="79"/>
      <c r="I632" s="79"/>
      <c r="J632" s="41"/>
    </row>
    <row r="633" spans="1:10" ht="11.25" customHeight="1">
      <c r="A633" s="43">
        <v>10</v>
      </c>
      <c r="B633" s="42" t="s">
        <v>283</v>
      </c>
      <c r="C633" s="82">
        <v>0</v>
      </c>
      <c r="D633" s="82"/>
      <c r="E633" s="82"/>
      <c r="F633" s="82"/>
      <c r="G633" s="82"/>
      <c r="H633" s="82"/>
      <c r="I633" s="82"/>
      <c r="J633" s="41"/>
    </row>
    <row r="634" spans="1:10" ht="11.25" customHeight="1">
      <c r="A634" s="43">
        <v>10</v>
      </c>
      <c r="B634" s="42" t="s">
        <v>282</v>
      </c>
      <c r="C634" s="82">
        <v>0</v>
      </c>
      <c r="D634" s="82"/>
      <c r="E634" s="82"/>
      <c r="F634" s="82"/>
      <c r="G634" s="82"/>
      <c r="H634" s="82"/>
      <c r="I634" s="82"/>
      <c r="J634" s="41"/>
    </row>
    <row r="635" spans="1:10" ht="11.25" customHeight="1">
      <c r="A635" s="43">
        <v>10</v>
      </c>
      <c r="B635" s="42" t="s">
        <v>281</v>
      </c>
      <c r="C635" s="82">
        <v>0</v>
      </c>
      <c r="D635" s="82"/>
      <c r="E635" s="82"/>
      <c r="F635" s="82"/>
      <c r="G635" s="82"/>
      <c r="H635" s="82"/>
      <c r="I635" s="82"/>
      <c r="J635" s="41"/>
    </row>
    <row r="636" spans="1:10" ht="11.25" customHeight="1">
      <c r="A636" s="43">
        <v>10</v>
      </c>
      <c r="B636" s="42" t="s">
        <v>280</v>
      </c>
      <c r="C636" s="82">
        <v>0</v>
      </c>
      <c r="D636" s="82"/>
      <c r="E636" s="82"/>
      <c r="F636" s="82"/>
      <c r="G636" s="82"/>
      <c r="H636" s="82"/>
      <c r="I636" s="82"/>
      <c r="J636" s="41"/>
    </row>
    <row r="637" spans="1:10" ht="11.25" customHeight="1">
      <c r="A637" s="43">
        <v>10</v>
      </c>
      <c r="B637" s="42" t="s">
        <v>279</v>
      </c>
      <c r="C637" s="82">
        <v>0</v>
      </c>
      <c r="D637" s="82"/>
      <c r="E637" s="82"/>
      <c r="F637" s="82"/>
      <c r="G637" s="82"/>
      <c r="H637" s="82"/>
      <c r="I637" s="82"/>
      <c r="J637" s="41"/>
    </row>
    <row r="638" spans="1:10" ht="11.25" customHeight="1">
      <c r="A638" s="43">
        <v>10</v>
      </c>
      <c r="B638" s="42" t="s">
        <v>278</v>
      </c>
      <c r="C638" s="82">
        <v>0</v>
      </c>
      <c r="D638" s="82"/>
      <c r="E638" s="82"/>
      <c r="F638" s="82"/>
      <c r="G638" s="82"/>
      <c r="H638" s="82"/>
      <c r="I638" s="82"/>
      <c r="J638" s="41"/>
    </row>
    <row r="639" spans="1:10" ht="18.5" customHeight="1">
      <c r="A639" s="43">
        <v>10</v>
      </c>
      <c r="B639" s="42" t="s">
        <v>277</v>
      </c>
      <c r="C639" s="82">
        <v>0</v>
      </c>
      <c r="D639" s="82"/>
      <c r="E639" s="82"/>
      <c r="F639" s="82"/>
      <c r="G639" s="82"/>
      <c r="H639" s="82"/>
      <c r="I639" s="82"/>
      <c r="J639" s="41"/>
    </row>
    <row r="640" spans="1:10" ht="24" customHeight="1">
      <c r="A640" s="84" t="s">
        <v>224</v>
      </c>
      <c r="B640" s="84"/>
      <c r="C640" s="84"/>
      <c r="D640" s="84"/>
      <c r="E640" s="84"/>
      <c r="F640" s="84"/>
      <c r="G640" s="84"/>
      <c r="H640" s="84"/>
      <c r="I640" s="84"/>
      <c r="J640" s="84"/>
    </row>
    <row r="641" spans="1:10" ht="23" customHeight="1">
      <c r="A641" s="76" t="s">
        <v>276</v>
      </c>
      <c r="B641" s="76"/>
      <c r="C641" s="76"/>
      <c r="D641" s="76"/>
      <c r="E641" s="76"/>
      <c r="F641" s="76"/>
      <c r="G641" s="76"/>
      <c r="H641" s="76"/>
      <c r="I641" s="76"/>
      <c r="J641" s="76"/>
    </row>
    <row r="642" spans="1:10" ht="34.049999999999997" customHeight="1">
      <c r="A642" s="77" t="s">
        <v>275</v>
      </c>
      <c r="B642" s="77"/>
      <c r="C642" s="77"/>
      <c r="D642" s="77"/>
      <c r="E642" s="77"/>
      <c r="F642" s="77"/>
      <c r="G642" s="77"/>
      <c r="H642" s="77"/>
      <c r="I642" s="77"/>
      <c r="J642" s="77"/>
    </row>
    <row r="643" spans="1:10" ht="35" customHeight="1">
      <c r="A643" s="76" t="s">
        <v>274</v>
      </c>
      <c r="B643" s="76"/>
      <c r="C643" s="76"/>
      <c r="D643" s="76"/>
      <c r="E643" s="76"/>
      <c r="F643" s="76"/>
      <c r="G643" s="76"/>
      <c r="H643" s="76"/>
      <c r="I643" s="76"/>
      <c r="J643" s="76"/>
    </row>
    <row r="644" spans="1:10" ht="34.049999999999997" customHeight="1">
      <c r="A644" s="77" t="s">
        <v>273</v>
      </c>
      <c r="B644" s="77"/>
      <c r="C644" s="77"/>
      <c r="D644" s="77"/>
      <c r="E644" s="77"/>
      <c r="F644" s="77"/>
      <c r="G644" s="77"/>
      <c r="H644" s="77"/>
      <c r="I644" s="77"/>
      <c r="J644" s="77"/>
    </row>
    <row r="645" spans="1:10" ht="35" customHeight="1">
      <c r="A645" s="76" t="s">
        <v>272</v>
      </c>
      <c r="B645" s="76"/>
      <c r="C645" s="76"/>
      <c r="D645" s="76"/>
      <c r="E645" s="76"/>
      <c r="F645" s="76"/>
      <c r="G645" s="76"/>
      <c r="H645" s="76"/>
      <c r="I645" s="76"/>
      <c r="J645" s="76"/>
    </row>
    <row r="646" spans="1:10" ht="34.049999999999997" customHeight="1">
      <c r="A646" s="77" t="s">
        <v>271</v>
      </c>
      <c r="B646" s="77"/>
      <c r="C646" s="77"/>
      <c r="D646" s="77"/>
      <c r="E646" s="77"/>
      <c r="F646" s="77"/>
      <c r="G646" s="77"/>
      <c r="H646" s="77"/>
      <c r="I646" s="77"/>
      <c r="J646" s="77"/>
    </row>
    <row r="647" spans="1:10" ht="35" customHeight="1">
      <c r="A647" s="76" t="s">
        <v>270</v>
      </c>
      <c r="B647" s="76"/>
      <c r="C647" s="76"/>
      <c r="D647" s="76"/>
      <c r="E647" s="76"/>
      <c r="F647" s="76"/>
      <c r="G647" s="76"/>
      <c r="H647" s="76"/>
      <c r="I647" s="76"/>
      <c r="J647" s="76"/>
    </row>
    <row r="648" spans="1:10" ht="34.049999999999997" customHeight="1">
      <c r="A648" s="76" t="s">
        <v>269</v>
      </c>
      <c r="B648" s="76"/>
      <c r="C648" s="76"/>
      <c r="D648" s="76"/>
      <c r="E648" s="76"/>
      <c r="F648" s="76"/>
      <c r="G648" s="76"/>
      <c r="H648" s="76"/>
      <c r="I648" s="76"/>
      <c r="J648" s="76"/>
    </row>
    <row r="649" spans="1:10" ht="35" customHeight="1">
      <c r="A649" s="76" t="s">
        <v>268</v>
      </c>
      <c r="B649" s="76"/>
      <c r="C649" s="76"/>
      <c r="D649" s="76"/>
      <c r="E649" s="76"/>
      <c r="F649" s="76"/>
      <c r="G649" s="76"/>
      <c r="H649" s="76"/>
      <c r="I649" s="76"/>
      <c r="J649" s="76"/>
    </row>
    <row r="650" spans="1:10" ht="34.049999999999997" customHeight="1">
      <c r="A650" s="76" t="s">
        <v>267</v>
      </c>
      <c r="B650" s="76"/>
      <c r="C650" s="76"/>
      <c r="D650" s="76"/>
      <c r="E650" s="76"/>
      <c r="F650" s="76"/>
      <c r="G650" s="76"/>
      <c r="H650" s="76"/>
      <c r="I650" s="76"/>
      <c r="J650" s="76"/>
    </row>
    <row r="651" spans="1:10" ht="56.55" customHeight="1">
      <c r="A651" s="77" t="s">
        <v>266</v>
      </c>
      <c r="B651" s="77"/>
      <c r="C651" s="77"/>
      <c r="D651" s="77"/>
      <c r="E651" s="77"/>
      <c r="F651" s="77"/>
      <c r="G651" s="77"/>
      <c r="H651" s="77"/>
      <c r="I651" s="77"/>
      <c r="J651" s="77"/>
    </row>
    <row r="652" spans="1:10" ht="11.25" customHeight="1">
      <c r="A652" s="78" t="s">
        <v>237</v>
      </c>
      <c r="B652" s="78"/>
      <c r="C652" s="78" t="s">
        <v>244</v>
      </c>
      <c r="D652" s="78"/>
      <c r="E652" s="54" t="s">
        <v>238</v>
      </c>
      <c r="F652" s="54" t="s">
        <v>236</v>
      </c>
      <c r="G652" s="56" t="s">
        <v>243</v>
      </c>
      <c r="H652" s="55" t="s">
        <v>242</v>
      </c>
      <c r="I652" s="54" t="s">
        <v>241</v>
      </c>
      <c r="J652" s="41"/>
    </row>
    <row r="653" spans="1:10" ht="11.25" customHeight="1">
      <c r="A653" s="75" t="s">
        <v>265</v>
      </c>
      <c r="B653" s="75"/>
      <c r="C653" s="75" t="s">
        <v>240</v>
      </c>
      <c r="D653" s="75"/>
      <c r="E653" s="50">
        <v>2</v>
      </c>
      <c r="F653" s="47">
        <v>872</v>
      </c>
      <c r="G653" s="49">
        <v>99</v>
      </c>
      <c r="H653" s="48">
        <v>839</v>
      </c>
      <c r="I653" s="47">
        <v>1</v>
      </c>
      <c r="J653" s="41"/>
    </row>
    <row r="654" spans="1:10" ht="11.25" customHeight="1">
      <c r="A654" s="75" t="s">
        <v>264</v>
      </c>
      <c r="B654" s="75"/>
      <c r="C654" s="75" t="s">
        <v>239</v>
      </c>
      <c r="D654" s="75"/>
      <c r="E654" s="50">
        <v>2</v>
      </c>
      <c r="F654" s="47">
        <v>805</v>
      </c>
      <c r="G654" s="49">
        <v>99</v>
      </c>
      <c r="H654" s="48">
        <v>839</v>
      </c>
      <c r="I654" s="47">
        <v>0</v>
      </c>
      <c r="J654" s="41"/>
    </row>
    <row r="655" spans="1:10" ht="11.25" customHeight="1">
      <c r="A655" s="75" t="s">
        <v>263</v>
      </c>
      <c r="B655" s="75"/>
      <c r="C655" s="75" t="s">
        <v>239</v>
      </c>
      <c r="D655" s="75"/>
      <c r="E655" s="50">
        <v>1</v>
      </c>
      <c r="F655" s="47">
        <v>329</v>
      </c>
      <c r="G655" s="49">
        <v>0</v>
      </c>
      <c r="H655" s="48">
        <v>888</v>
      </c>
      <c r="I655" s="47">
        <v>0</v>
      </c>
      <c r="J655" s="41"/>
    </row>
    <row r="656" spans="1:10" ht="21" customHeight="1">
      <c r="A656" s="46" t="s">
        <v>238</v>
      </c>
      <c r="B656" s="45" t="s">
        <v>237</v>
      </c>
      <c r="C656" s="83" t="s">
        <v>236</v>
      </c>
      <c r="D656" s="83"/>
      <c r="E656" s="83"/>
      <c r="F656" s="83"/>
      <c r="G656" s="83"/>
      <c r="H656" s="83"/>
      <c r="I656" s="83"/>
      <c r="J656" s="44"/>
    </row>
    <row r="657" spans="1:10" ht="11.25" customHeight="1">
      <c r="A657" s="43">
        <v>1</v>
      </c>
      <c r="B657" s="42" t="s">
        <v>265</v>
      </c>
      <c r="C657" s="80">
        <v>765</v>
      </c>
      <c r="D657" s="80"/>
      <c r="E657" s="80"/>
      <c r="F657" s="80"/>
      <c r="G657" s="80"/>
      <c r="H657" s="80"/>
      <c r="I657" s="80"/>
      <c r="J657" s="41"/>
    </row>
    <row r="658" spans="1:10" ht="11.25" customHeight="1">
      <c r="A658" s="43">
        <v>1</v>
      </c>
      <c r="B658" s="42" t="s">
        <v>264</v>
      </c>
      <c r="C658" s="80">
        <v>682</v>
      </c>
      <c r="D658" s="80"/>
      <c r="E658" s="80"/>
      <c r="F658" s="80"/>
      <c r="G658" s="80"/>
      <c r="H658" s="80"/>
      <c r="I658" s="80"/>
      <c r="J658" s="41"/>
    </row>
    <row r="659" spans="1:10" ht="11.25" customHeight="1">
      <c r="A659" s="43">
        <v>1</v>
      </c>
      <c r="B659" s="42" t="s">
        <v>263</v>
      </c>
      <c r="C659" s="80">
        <v>329</v>
      </c>
      <c r="D659" s="80"/>
      <c r="E659" s="80"/>
      <c r="F659" s="80"/>
      <c r="G659" s="80"/>
      <c r="H659" s="80"/>
      <c r="I659" s="80"/>
      <c r="J659" s="41"/>
    </row>
    <row r="660" spans="1:10" ht="11.25" customHeight="1">
      <c r="A660" s="43">
        <v>2</v>
      </c>
      <c r="B660" s="42" t="s">
        <v>265</v>
      </c>
      <c r="C660" s="80">
        <v>872</v>
      </c>
      <c r="D660" s="80"/>
      <c r="E660" s="80"/>
      <c r="F660" s="80"/>
      <c r="G660" s="80"/>
      <c r="H660" s="80"/>
      <c r="I660" s="80"/>
      <c r="J660" s="41"/>
    </row>
    <row r="661" spans="1:10" ht="11.25" customHeight="1">
      <c r="A661" s="43">
        <v>2</v>
      </c>
      <c r="B661" s="42" t="s">
        <v>264</v>
      </c>
      <c r="C661" s="80">
        <v>805</v>
      </c>
      <c r="D661" s="80"/>
      <c r="E661" s="80"/>
      <c r="F661" s="80"/>
      <c r="G661" s="80"/>
      <c r="H661" s="80"/>
      <c r="I661" s="80"/>
      <c r="J661" s="41"/>
    </row>
    <row r="662" spans="1:10" ht="18.5" customHeight="1">
      <c r="A662" s="43">
        <v>2</v>
      </c>
      <c r="B662" s="42" t="s">
        <v>263</v>
      </c>
      <c r="C662" s="82">
        <v>0</v>
      </c>
      <c r="D662" s="82"/>
      <c r="E662" s="82"/>
      <c r="F662" s="82"/>
      <c r="G662" s="82"/>
      <c r="H662" s="82"/>
      <c r="I662" s="82"/>
      <c r="J662" s="41"/>
    </row>
    <row r="663" spans="1:10" ht="23" customHeight="1">
      <c r="A663" s="84" t="s">
        <v>224</v>
      </c>
      <c r="B663" s="84"/>
      <c r="C663" s="84"/>
      <c r="D663" s="84"/>
      <c r="E663" s="84"/>
      <c r="F663" s="84"/>
      <c r="G663" s="84"/>
      <c r="H663" s="84"/>
      <c r="I663" s="84"/>
      <c r="J663" s="84"/>
    </row>
    <row r="664" spans="1:10" ht="23" customHeight="1">
      <c r="A664" s="76" t="s">
        <v>262</v>
      </c>
      <c r="B664" s="76"/>
      <c r="C664" s="76"/>
      <c r="D664" s="76"/>
      <c r="E664" s="76"/>
      <c r="F664" s="76"/>
      <c r="G664" s="76"/>
      <c r="H664" s="76"/>
      <c r="I664" s="76"/>
      <c r="J664" s="76"/>
    </row>
    <row r="665" spans="1:10" ht="23" customHeight="1">
      <c r="A665" s="76" t="s">
        <v>261</v>
      </c>
      <c r="B665" s="76"/>
      <c r="C665" s="76"/>
      <c r="D665" s="76"/>
      <c r="E665" s="76"/>
      <c r="F665" s="76"/>
      <c r="G665" s="76"/>
      <c r="H665" s="76"/>
      <c r="I665" s="76"/>
      <c r="J665" s="76"/>
    </row>
    <row r="666" spans="1:10" ht="14.25" customHeight="1">
      <c r="A666" s="76" t="s">
        <v>260</v>
      </c>
      <c r="B666" s="76"/>
      <c r="C666" s="76"/>
      <c r="D666" s="76"/>
      <c r="E666" s="76"/>
      <c r="F666" s="76"/>
      <c r="G666" s="76"/>
      <c r="H666" s="76"/>
      <c r="I666" s="76"/>
      <c r="J666" s="76"/>
    </row>
    <row r="667" spans="1:10" ht="57.5" customHeight="1">
      <c r="A667" s="77" t="s">
        <v>259</v>
      </c>
      <c r="B667" s="77"/>
      <c r="C667" s="77"/>
      <c r="D667" s="77"/>
      <c r="E667" s="77"/>
      <c r="F667" s="77"/>
      <c r="G667" s="77"/>
      <c r="H667" s="77"/>
      <c r="I667" s="77"/>
      <c r="J667" s="77"/>
    </row>
    <row r="668" spans="1:10" ht="11.25" customHeight="1">
      <c r="A668" s="78" t="s">
        <v>237</v>
      </c>
      <c r="B668" s="78"/>
      <c r="C668" s="78" t="s">
        <v>244</v>
      </c>
      <c r="D668" s="78"/>
      <c r="E668" s="58" t="s">
        <v>238</v>
      </c>
      <c r="F668" s="57" t="s">
        <v>236</v>
      </c>
      <c r="G668" s="56" t="s">
        <v>243</v>
      </c>
      <c r="H668" s="55" t="s">
        <v>242</v>
      </c>
      <c r="I668" s="54" t="s">
        <v>241</v>
      </c>
      <c r="J668" s="41"/>
    </row>
    <row r="669" spans="1:10" ht="11.25" customHeight="1">
      <c r="A669" s="75" t="s">
        <v>255</v>
      </c>
      <c r="B669" s="75"/>
      <c r="C669" s="75" t="s">
        <v>240</v>
      </c>
      <c r="D669" s="75"/>
      <c r="E669" s="50">
        <v>1</v>
      </c>
      <c r="F669" s="49">
        <v>0</v>
      </c>
      <c r="G669" s="49">
        <v>0</v>
      </c>
      <c r="H669" s="48">
        <v>0</v>
      </c>
      <c r="I669" s="47">
        <v>1</v>
      </c>
      <c r="J669" s="41"/>
    </row>
    <row r="670" spans="1:10" ht="11.25" customHeight="1">
      <c r="A670" s="75" t="s">
        <v>257</v>
      </c>
      <c r="B670" s="75"/>
      <c r="C670" s="75" t="s">
        <v>240</v>
      </c>
      <c r="D670" s="75"/>
      <c r="E670" s="50">
        <v>1</v>
      </c>
      <c r="F670" s="49">
        <v>0</v>
      </c>
      <c r="G670" s="49">
        <v>0</v>
      </c>
      <c r="H670" s="48">
        <v>0</v>
      </c>
      <c r="I670" s="47">
        <v>1</v>
      </c>
      <c r="J670" s="41"/>
    </row>
    <row r="671" spans="1:10" ht="11.25" customHeight="1">
      <c r="A671" s="75" t="s">
        <v>256</v>
      </c>
      <c r="B671" s="75"/>
      <c r="C671" s="75" t="s">
        <v>240</v>
      </c>
      <c r="D671" s="75"/>
      <c r="E671" s="50">
        <v>1</v>
      </c>
      <c r="F671" s="49">
        <v>0</v>
      </c>
      <c r="G671" s="49">
        <v>0</v>
      </c>
      <c r="H671" s="48">
        <v>0</v>
      </c>
      <c r="I671" s="47">
        <v>1</v>
      </c>
      <c r="J671" s="41"/>
    </row>
    <row r="672" spans="1:10" ht="11.25" customHeight="1">
      <c r="A672" s="75" t="s">
        <v>252</v>
      </c>
      <c r="B672" s="75"/>
      <c r="C672" s="75" t="s">
        <v>240</v>
      </c>
      <c r="D672" s="75"/>
      <c r="E672" s="50">
        <v>1</v>
      </c>
      <c r="F672" s="49">
        <v>0</v>
      </c>
      <c r="G672" s="49">
        <v>0</v>
      </c>
      <c r="H672" s="48">
        <v>0</v>
      </c>
      <c r="I672" s="47">
        <v>1</v>
      </c>
      <c r="J672" s="41"/>
    </row>
    <row r="673" spans="1:10" ht="11.25" customHeight="1">
      <c r="A673" s="75" t="s">
        <v>254</v>
      </c>
      <c r="B673" s="75"/>
      <c r="C673" s="75" t="s">
        <v>240</v>
      </c>
      <c r="D673" s="75"/>
      <c r="E673" s="50">
        <v>1</v>
      </c>
      <c r="F673" s="49">
        <v>0</v>
      </c>
      <c r="G673" s="49">
        <v>0</v>
      </c>
      <c r="H673" s="48">
        <v>0</v>
      </c>
      <c r="I673" s="47">
        <v>1</v>
      </c>
      <c r="J673" s="41"/>
    </row>
    <row r="674" spans="1:10" ht="11.25" customHeight="1">
      <c r="A674" s="75" t="s">
        <v>253</v>
      </c>
      <c r="B674" s="75"/>
      <c r="C674" s="75" t="s">
        <v>240</v>
      </c>
      <c r="D674" s="75"/>
      <c r="E674" s="50">
        <v>1</v>
      </c>
      <c r="F674" s="49">
        <v>0</v>
      </c>
      <c r="G674" s="49">
        <v>0</v>
      </c>
      <c r="H674" s="48">
        <v>0</v>
      </c>
      <c r="I674" s="47">
        <v>1</v>
      </c>
      <c r="J674" s="41"/>
    </row>
    <row r="675" spans="1:10" ht="11.25" customHeight="1">
      <c r="A675" s="75" t="s">
        <v>258</v>
      </c>
      <c r="B675" s="75"/>
      <c r="C675" s="75" t="s">
        <v>239</v>
      </c>
      <c r="D675" s="75"/>
      <c r="E675" s="50">
        <v>1</v>
      </c>
      <c r="F675" s="49">
        <v>0</v>
      </c>
      <c r="G675" s="49">
        <v>0</v>
      </c>
      <c r="H675" s="48">
        <v>0</v>
      </c>
      <c r="I675" s="47">
        <v>1</v>
      </c>
      <c r="J675" s="41"/>
    </row>
    <row r="676" spans="1:10" ht="21" customHeight="1">
      <c r="A676" s="46" t="s">
        <v>238</v>
      </c>
      <c r="B676" s="45" t="s">
        <v>237</v>
      </c>
      <c r="C676" s="83" t="s">
        <v>236</v>
      </c>
      <c r="D676" s="83"/>
      <c r="E676" s="83"/>
      <c r="F676" s="83"/>
      <c r="G676" s="83"/>
      <c r="H676" s="83"/>
      <c r="I676" s="83"/>
      <c r="J676" s="44"/>
    </row>
    <row r="677" spans="1:10" ht="11.25" customHeight="1">
      <c r="A677" s="43">
        <v>1</v>
      </c>
      <c r="B677" s="42" t="s">
        <v>258</v>
      </c>
      <c r="C677" s="82">
        <v>0</v>
      </c>
      <c r="D677" s="82"/>
      <c r="E677" s="82"/>
      <c r="F677" s="82"/>
      <c r="G677" s="82"/>
      <c r="H677" s="82"/>
      <c r="I677" s="82"/>
      <c r="J677" s="41"/>
    </row>
    <row r="678" spans="1:10" ht="11.25" customHeight="1">
      <c r="A678" s="43">
        <v>1</v>
      </c>
      <c r="B678" s="42" t="s">
        <v>257</v>
      </c>
      <c r="C678" s="82">
        <v>0</v>
      </c>
      <c r="D678" s="82"/>
      <c r="E678" s="82"/>
      <c r="F678" s="82"/>
      <c r="G678" s="82"/>
      <c r="H678" s="82"/>
      <c r="I678" s="82"/>
      <c r="J678" s="41"/>
    </row>
    <row r="679" spans="1:10" ht="11.25" customHeight="1">
      <c r="A679" s="43">
        <v>1</v>
      </c>
      <c r="B679" s="42" t="s">
        <v>256</v>
      </c>
      <c r="C679" s="82">
        <v>0</v>
      </c>
      <c r="D679" s="82"/>
      <c r="E679" s="82"/>
      <c r="F679" s="82"/>
      <c r="G679" s="82"/>
      <c r="H679" s="82"/>
      <c r="I679" s="82"/>
      <c r="J679" s="41"/>
    </row>
    <row r="680" spans="1:10" ht="11.25" customHeight="1">
      <c r="A680" s="43">
        <v>1</v>
      </c>
      <c r="B680" s="42" t="s">
        <v>255</v>
      </c>
      <c r="C680" s="82">
        <v>0</v>
      </c>
      <c r="D680" s="82"/>
      <c r="E680" s="82"/>
      <c r="F680" s="82"/>
      <c r="G680" s="82"/>
      <c r="H680" s="82"/>
      <c r="I680" s="82"/>
      <c r="J680" s="41"/>
    </row>
    <row r="681" spans="1:10" ht="11.25" customHeight="1">
      <c r="A681" s="43">
        <v>1</v>
      </c>
      <c r="B681" s="42" t="s">
        <v>254</v>
      </c>
      <c r="C681" s="82">
        <v>0</v>
      </c>
      <c r="D681" s="82"/>
      <c r="E681" s="82"/>
      <c r="F681" s="82"/>
      <c r="G681" s="82"/>
      <c r="H681" s="82"/>
      <c r="I681" s="82"/>
      <c r="J681" s="41"/>
    </row>
    <row r="682" spans="1:10" ht="11.25" customHeight="1">
      <c r="A682" s="43">
        <v>1</v>
      </c>
      <c r="B682" s="42" t="s">
        <v>253</v>
      </c>
      <c r="C682" s="82">
        <v>0</v>
      </c>
      <c r="D682" s="82"/>
      <c r="E682" s="82"/>
      <c r="F682" s="82"/>
      <c r="G682" s="82"/>
      <c r="H682" s="82"/>
      <c r="I682" s="82"/>
      <c r="J682" s="41"/>
    </row>
    <row r="683" spans="1:10" ht="18.5" customHeight="1">
      <c r="A683" s="43">
        <v>1</v>
      </c>
      <c r="B683" s="42" t="s">
        <v>252</v>
      </c>
      <c r="C683" s="82">
        <v>0</v>
      </c>
      <c r="D683" s="82"/>
      <c r="E683" s="82"/>
      <c r="F683" s="82"/>
      <c r="G683" s="82"/>
      <c r="H683" s="82"/>
      <c r="I683" s="82"/>
      <c r="J683" s="44"/>
    </row>
    <row r="684" spans="1:10" ht="24" customHeight="1">
      <c r="A684" s="84" t="s">
        <v>224</v>
      </c>
      <c r="B684" s="84"/>
      <c r="C684" s="84"/>
      <c r="D684" s="84"/>
      <c r="E684" s="84"/>
      <c r="F684" s="84"/>
      <c r="G684" s="84"/>
      <c r="H684" s="84"/>
      <c r="I684" s="84"/>
      <c r="J684" s="84"/>
    </row>
    <row r="685" spans="1:10" ht="34.049999999999997" customHeight="1">
      <c r="A685" s="77" t="s">
        <v>251</v>
      </c>
      <c r="B685" s="77"/>
      <c r="C685" s="77"/>
      <c r="D685" s="77"/>
      <c r="E685" s="77"/>
      <c r="F685" s="77"/>
      <c r="G685" s="77"/>
      <c r="H685" s="77"/>
      <c r="I685" s="77"/>
      <c r="J685" s="77"/>
    </row>
    <row r="686" spans="1:10" ht="35" customHeight="1">
      <c r="A686" s="76" t="s">
        <v>250</v>
      </c>
      <c r="B686" s="76"/>
      <c r="C686" s="76"/>
      <c r="D686" s="76"/>
      <c r="E686" s="76"/>
      <c r="F686" s="76"/>
      <c r="G686" s="76"/>
      <c r="H686" s="76"/>
      <c r="I686" s="76"/>
      <c r="J686" s="76"/>
    </row>
    <row r="687" spans="1:10" ht="34.049999999999997" customHeight="1">
      <c r="A687" s="77" t="s">
        <v>249</v>
      </c>
      <c r="B687" s="77"/>
      <c r="C687" s="77"/>
      <c r="D687" s="77"/>
      <c r="E687" s="77"/>
      <c r="F687" s="77"/>
      <c r="G687" s="77"/>
      <c r="H687" s="77"/>
      <c r="I687" s="77"/>
      <c r="J687" s="77"/>
    </row>
    <row r="688" spans="1:10" ht="35" customHeight="1">
      <c r="A688" s="76" t="s">
        <v>248</v>
      </c>
      <c r="B688" s="76"/>
      <c r="C688" s="76"/>
      <c r="D688" s="76"/>
      <c r="E688" s="76"/>
      <c r="F688" s="76"/>
      <c r="G688" s="76"/>
      <c r="H688" s="76"/>
      <c r="I688" s="76"/>
      <c r="J688" s="76"/>
    </row>
    <row r="689" spans="1:10" ht="34.049999999999997" customHeight="1">
      <c r="A689" s="77" t="s">
        <v>247</v>
      </c>
      <c r="B689" s="77"/>
      <c r="C689" s="77"/>
      <c r="D689" s="77"/>
      <c r="E689" s="77"/>
      <c r="F689" s="77"/>
      <c r="G689" s="77"/>
      <c r="H689" s="77"/>
      <c r="I689" s="77"/>
      <c r="J689" s="77"/>
    </row>
    <row r="690" spans="1:10" ht="35" customHeight="1">
      <c r="A690" s="76" t="s">
        <v>246</v>
      </c>
      <c r="B690" s="76"/>
      <c r="C690" s="76"/>
      <c r="D690" s="76"/>
      <c r="E690" s="76"/>
      <c r="F690" s="76"/>
      <c r="G690" s="76"/>
      <c r="H690" s="76"/>
      <c r="I690" s="76"/>
      <c r="J690" s="76"/>
    </row>
    <row r="691" spans="1:10" ht="34.049999999999997" customHeight="1">
      <c r="A691" s="76" t="s">
        <v>245</v>
      </c>
      <c r="B691" s="76"/>
      <c r="C691" s="76"/>
      <c r="D691" s="76"/>
      <c r="E691" s="76"/>
      <c r="F691" s="76"/>
      <c r="G691" s="76"/>
      <c r="H691" s="76"/>
      <c r="I691" s="76"/>
      <c r="J691" s="76"/>
    </row>
    <row r="692" spans="1:10" ht="56.55" customHeight="1">
      <c r="A692" s="76" t="s">
        <v>373</v>
      </c>
      <c r="B692" s="77"/>
      <c r="C692" s="77"/>
      <c r="D692" s="77"/>
      <c r="E692" s="77"/>
      <c r="F692" s="77"/>
      <c r="G692" s="77"/>
      <c r="H692" s="77"/>
      <c r="I692" s="77"/>
      <c r="J692" s="77"/>
    </row>
    <row r="693" spans="1:10" ht="11.25" customHeight="1">
      <c r="A693" s="78" t="s">
        <v>237</v>
      </c>
      <c r="B693" s="78"/>
      <c r="C693" s="78" t="s">
        <v>244</v>
      </c>
      <c r="D693" s="78"/>
      <c r="E693" s="58" t="s">
        <v>238</v>
      </c>
      <c r="F693" s="57" t="s">
        <v>236</v>
      </c>
      <c r="G693" s="56" t="s">
        <v>243</v>
      </c>
      <c r="H693" s="55" t="s">
        <v>242</v>
      </c>
      <c r="I693" s="54" t="s">
        <v>241</v>
      </c>
      <c r="J693" s="41"/>
    </row>
    <row r="694" spans="1:10" ht="11.25" customHeight="1">
      <c r="A694" s="75" t="s">
        <v>231</v>
      </c>
      <c r="B694" s="75"/>
      <c r="C694" s="75" t="s">
        <v>240</v>
      </c>
      <c r="D694" s="75"/>
      <c r="E694" s="50">
        <v>1</v>
      </c>
      <c r="F694" s="53">
        <v>1606</v>
      </c>
      <c r="G694" s="49">
        <v>0</v>
      </c>
      <c r="H694" s="48">
        <v>599.85714285799997</v>
      </c>
      <c r="I694" s="47">
        <v>0.31038002199999998</v>
      </c>
      <c r="J694" s="41"/>
    </row>
    <row r="695" spans="1:10" ht="11.25" customHeight="1">
      <c r="A695" s="75" t="s">
        <v>232</v>
      </c>
      <c r="B695" s="75"/>
      <c r="C695" s="75" t="s">
        <v>240</v>
      </c>
      <c r="D695" s="75"/>
      <c r="E695" s="50">
        <v>2</v>
      </c>
      <c r="F695" s="49">
        <v>671.68341923599996</v>
      </c>
      <c r="G695" s="49">
        <v>97.732431887999994</v>
      </c>
      <c r="H695" s="48">
        <v>585.89536687400005</v>
      </c>
      <c r="I695" s="47">
        <v>0.70548244800000004</v>
      </c>
      <c r="J695" s="41"/>
    </row>
    <row r="696" spans="1:10" ht="11.25" customHeight="1">
      <c r="A696" s="75" t="s">
        <v>234</v>
      </c>
      <c r="B696" s="75"/>
      <c r="C696" s="75" t="s">
        <v>240</v>
      </c>
      <c r="D696" s="75"/>
      <c r="E696" s="50">
        <v>3</v>
      </c>
      <c r="F696" s="49">
        <v>595.65844442699995</v>
      </c>
      <c r="G696" s="49">
        <v>108.03285938099999</v>
      </c>
      <c r="H696" s="48">
        <v>584.423877232</v>
      </c>
      <c r="I696" s="47">
        <v>0.75241654700000005</v>
      </c>
      <c r="J696" s="41"/>
    </row>
    <row r="697" spans="1:10" ht="11.25" customHeight="1">
      <c r="A697" s="75" t="s">
        <v>233</v>
      </c>
      <c r="B697" s="75"/>
      <c r="C697" s="75" t="s">
        <v>240</v>
      </c>
      <c r="D697" s="75"/>
      <c r="E697" s="50">
        <v>8</v>
      </c>
      <c r="F697" s="49">
        <v>595.11182275700003</v>
      </c>
      <c r="G697" s="49">
        <v>262.93676303900003</v>
      </c>
      <c r="H697" s="48">
        <v>562.29474813800005</v>
      </c>
      <c r="I697" s="47">
        <v>0.88967185400000004</v>
      </c>
      <c r="J697" s="41"/>
    </row>
    <row r="698" spans="1:10" ht="11.25" customHeight="1">
      <c r="A698" s="75" t="s">
        <v>235</v>
      </c>
      <c r="B698" s="75"/>
      <c r="C698" s="75" t="s">
        <v>240</v>
      </c>
      <c r="D698" s="75"/>
      <c r="E698" s="50">
        <v>9</v>
      </c>
      <c r="F698" s="49">
        <v>566.58288777099995</v>
      </c>
      <c r="G698" s="49">
        <v>286.303372513</v>
      </c>
      <c r="H698" s="48">
        <v>558.95666107</v>
      </c>
      <c r="I698" s="47">
        <v>0.95302084499999995</v>
      </c>
      <c r="J698" s="41"/>
    </row>
    <row r="699" spans="1:10" ht="11.25" customHeight="1">
      <c r="A699" s="75" t="s">
        <v>230</v>
      </c>
      <c r="B699" s="75"/>
      <c r="C699" s="75" t="s">
        <v>240</v>
      </c>
      <c r="D699" s="75"/>
      <c r="E699" s="52">
        <v>12</v>
      </c>
      <c r="F699" s="49">
        <v>556.34738497700005</v>
      </c>
      <c r="G699" s="49">
        <v>311.39664985500002</v>
      </c>
      <c r="H699" s="48">
        <v>555.37190716400005</v>
      </c>
      <c r="I699" s="47">
        <v>1</v>
      </c>
      <c r="J699" s="41"/>
    </row>
    <row r="700" spans="1:10" ht="11.25" customHeight="1">
      <c r="A700" s="75" t="s">
        <v>229</v>
      </c>
      <c r="B700" s="75"/>
      <c r="C700" s="75" t="s">
        <v>239</v>
      </c>
      <c r="D700" s="75"/>
      <c r="E700" s="52">
        <v>12</v>
      </c>
      <c r="F700" s="49">
        <v>537.28882003700005</v>
      </c>
      <c r="G700" s="49">
        <v>311.39664985500002</v>
      </c>
      <c r="H700" s="48">
        <v>555.37190716400005</v>
      </c>
      <c r="I700" s="47">
        <v>0</v>
      </c>
      <c r="J700" s="41"/>
    </row>
    <row r="701" spans="1:10" ht="11.25" customHeight="1">
      <c r="A701" s="75" t="s">
        <v>226</v>
      </c>
      <c r="B701" s="75"/>
      <c r="C701" s="75" t="s">
        <v>239</v>
      </c>
      <c r="D701" s="75"/>
      <c r="E701" s="50">
        <v>7</v>
      </c>
      <c r="F701" s="49">
        <v>293.60979212199999</v>
      </c>
      <c r="G701" s="49">
        <v>197.97467449999999</v>
      </c>
      <c r="H701" s="48">
        <v>571.57504650099997</v>
      </c>
      <c r="I701" s="47">
        <v>0</v>
      </c>
      <c r="J701" s="41"/>
    </row>
    <row r="702" spans="1:10" ht="11.25" customHeight="1">
      <c r="A702" s="75" t="s">
        <v>225</v>
      </c>
      <c r="B702" s="75"/>
      <c r="C702" s="75" t="s">
        <v>239</v>
      </c>
      <c r="D702" s="75"/>
      <c r="E702" s="50">
        <v>6</v>
      </c>
      <c r="F702" s="49">
        <v>238.735129497</v>
      </c>
      <c r="G702" s="49">
        <v>148.0805388</v>
      </c>
      <c r="H702" s="48">
        <v>578.70278017199996</v>
      </c>
      <c r="I702" s="47">
        <v>0</v>
      </c>
      <c r="J702" s="41"/>
    </row>
    <row r="703" spans="1:10" ht="11.25" customHeight="1">
      <c r="A703" s="75" t="s">
        <v>228</v>
      </c>
      <c r="B703" s="75"/>
      <c r="C703" s="75" t="s">
        <v>239</v>
      </c>
      <c r="D703" s="75"/>
      <c r="E703" s="50">
        <v>4</v>
      </c>
      <c r="F703" s="49">
        <v>105.33429125000001</v>
      </c>
      <c r="G703" s="49">
        <v>124.864986333</v>
      </c>
      <c r="H703" s="48">
        <v>582.01928766699996</v>
      </c>
      <c r="I703" s="47">
        <v>0</v>
      </c>
      <c r="J703" s="41"/>
    </row>
    <row r="704" spans="1:10" ht="11.25" customHeight="1">
      <c r="A704" s="75" t="s">
        <v>227</v>
      </c>
      <c r="B704" s="75"/>
      <c r="C704" s="75" t="s">
        <v>239</v>
      </c>
      <c r="D704" s="75"/>
      <c r="E704" s="50">
        <v>3</v>
      </c>
      <c r="F704" s="49">
        <v>69.063265180000002</v>
      </c>
      <c r="G704" s="49">
        <v>108.03285938099999</v>
      </c>
      <c r="H704" s="48">
        <v>584.423877232</v>
      </c>
      <c r="I704" s="47">
        <v>0</v>
      </c>
      <c r="J704" s="41"/>
    </row>
    <row r="705" spans="1:10" ht="22.5" customHeight="1">
      <c r="A705" s="46" t="s">
        <v>238</v>
      </c>
      <c r="B705" s="45" t="s">
        <v>237</v>
      </c>
      <c r="C705" s="83" t="s">
        <v>236</v>
      </c>
      <c r="D705" s="83"/>
      <c r="E705" s="83"/>
      <c r="F705" s="83"/>
      <c r="G705" s="83"/>
      <c r="H705" s="83"/>
      <c r="I705" s="83"/>
      <c r="J705" s="44"/>
    </row>
    <row r="706" spans="1:10" ht="11.25" customHeight="1">
      <c r="A706" s="43">
        <v>1</v>
      </c>
      <c r="B706" s="42" t="s">
        <v>231</v>
      </c>
      <c r="C706" s="79">
        <v>1606</v>
      </c>
      <c r="D706" s="79"/>
      <c r="E706" s="79"/>
      <c r="F706" s="79"/>
      <c r="G706" s="79"/>
      <c r="H706" s="79"/>
      <c r="I706" s="79"/>
      <c r="J706" s="41"/>
    </row>
    <row r="707" spans="1:10" ht="11.25" customHeight="1">
      <c r="A707" s="43">
        <v>1</v>
      </c>
      <c r="B707" s="42" t="s">
        <v>232</v>
      </c>
      <c r="C707" s="80">
        <v>542</v>
      </c>
      <c r="D707" s="80"/>
      <c r="E707" s="80"/>
      <c r="F707" s="80"/>
      <c r="G707" s="80"/>
      <c r="H707" s="80"/>
      <c r="I707" s="80"/>
      <c r="J707" s="41"/>
    </row>
    <row r="708" spans="1:10" ht="11.25" customHeight="1">
      <c r="A708" s="43">
        <v>1</v>
      </c>
      <c r="B708" s="42" t="s">
        <v>234</v>
      </c>
      <c r="C708" s="80">
        <v>436</v>
      </c>
      <c r="D708" s="80"/>
      <c r="E708" s="80"/>
      <c r="F708" s="80"/>
      <c r="G708" s="80"/>
      <c r="H708" s="80"/>
      <c r="I708" s="80"/>
      <c r="J708" s="41"/>
    </row>
    <row r="709" spans="1:10" ht="11.25" customHeight="1">
      <c r="A709" s="43">
        <v>1</v>
      </c>
      <c r="B709" s="42" t="s">
        <v>233</v>
      </c>
      <c r="C709" s="80">
        <v>314</v>
      </c>
      <c r="D709" s="80"/>
      <c r="E709" s="80"/>
      <c r="F709" s="80"/>
      <c r="G709" s="80"/>
      <c r="H709" s="80"/>
      <c r="I709" s="80"/>
      <c r="J709" s="41"/>
    </row>
    <row r="710" spans="1:10" ht="11.25" customHeight="1">
      <c r="A710" s="43">
        <v>1</v>
      </c>
      <c r="B710" s="42" t="s">
        <v>229</v>
      </c>
      <c r="C710" s="80">
        <v>290</v>
      </c>
      <c r="D710" s="80"/>
      <c r="E710" s="80"/>
      <c r="F710" s="80"/>
      <c r="G710" s="80"/>
      <c r="H710" s="80"/>
      <c r="I710" s="80"/>
      <c r="J710" s="41"/>
    </row>
    <row r="711" spans="1:10" ht="11.25" customHeight="1">
      <c r="A711" s="43">
        <v>1</v>
      </c>
      <c r="B711" s="42" t="s">
        <v>235</v>
      </c>
      <c r="C711" s="80">
        <v>283</v>
      </c>
      <c r="D711" s="80"/>
      <c r="E711" s="80"/>
      <c r="F711" s="80"/>
      <c r="G711" s="80"/>
      <c r="H711" s="80"/>
      <c r="I711" s="80"/>
      <c r="J711" s="41"/>
    </row>
    <row r="712" spans="1:10" ht="11.25" customHeight="1">
      <c r="A712" s="43">
        <v>1</v>
      </c>
      <c r="B712" s="42" t="s">
        <v>230</v>
      </c>
      <c r="C712" s="80">
        <v>245</v>
      </c>
      <c r="D712" s="80"/>
      <c r="E712" s="80"/>
      <c r="F712" s="80"/>
      <c r="G712" s="80"/>
      <c r="H712" s="80"/>
      <c r="I712" s="80"/>
      <c r="J712" s="41"/>
    </row>
    <row r="713" spans="1:10" ht="11.25" customHeight="1">
      <c r="A713" s="43">
        <v>1</v>
      </c>
      <c r="B713" s="42" t="s">
        <v>226</v>
      </c>
      <c r="C713" s="80">
        <v>177</v>
      </c>
      <c r="D713" s="80"/>
      <c r="E713" s="80"/>
      <c r="F713" s="80"/>
      <c r="G713" s="80"/>
      <c r="H713" s="80"/>
      <c r="I713" s="80"/>
      <c r="J713" s="41"/>
    </row>
    <row r="714" spans="1:10" ht="11.25" customHeight="1">
      <c r="A714" s="43">
        <v>1</v>
      </c>
      <c r="B714" s="42" t="s">
        <v>225</v>
      </c>
      <c r="C714" s="85">
        <v>161</v>
      </c>
      <c r="D714" s="85"/>
      <c r="E714" s="85"/>
      <c r="F714" s="85"/>
      <c r="G714" s="85"/>
      <c r="H714" s="85"/>
      <c r="I714" s="85"/>
    </row>
    <row r="715" spans="1:10" ht="11.25" customHeight="1">
      <c r="A715" s="43">
        <v>1</v>
      </c>
      <c r="B715" s="42" t="s">
        <v>228</v>
      </c>
      <c r="C715" s="85">
        <v>88</v>
      </c>
      <c r="D715" s="85"/>
      <c r="E715" s="85"/>
      <c r="F715" s="85"/>
      <c r="G715" s="85"/>
      <c r="H715" s="85"/>
      <c r="I715" s="85"/>
    </row>
    <row r="716" spans="1:10" ht="11.25" customHeight="1">
      <c r="A716" s="43">
        <v>1</v>
      </c>
      <c r="B716" s="42" t="s">
        <v>227</v>
      </c>
      <c r="C716" s="85">
        <v>57</v>
      </c>
      <c r="D716" s="85"/>
      <c r="E716" s="85"/>
      <c r="F716" s="85"/>
      <c r="G716" s="85"/>
      <c r="H716" s="85"/>
      <c r="I716" s="85"/>
    </row>
    <row r="717" spans="1:10" ht="11.25" customHeight="1">
      <c r="A717" s="43">
        <v>2</v>
      </c>
      <c r="B717" s="42" t="s">
        <v>232</v>
      </c>
      <c r="C717" s="85">
        <v>671.68341923599996</v>
      </c>
      <c r="D717" s="85"/>
      <c r="E717" s="85"/>
      <c r="F717" s="85"/>
      <c r="G717" s="85"/>
      <c r="H717" s="85"/>
      <c r="I717" s="85"/>
    </row>
    <row r="718" spans="1:10" ht="11.25" customHeight="1">
      <c r="A718" s="43">
        <v>2</v>
      </c>
      <c r="B718" s="42" t="s">
        <v>231</v>
      </c>
      <c r="C718" s="85">
        <v>599.85714351199999</v>
      </c>
      <c r="D718" s="85"/>
      <c r="E718" s="85"/>
      <c r="F718" s="85"/>
      <c r="G718" s="85"/>
      <c r="H718" s="85"/>
      <c r="I718" s="85"/>
    </row>
    <row r="719" spans="1:10" ht="11.25" customHeight="1">
      <c r="A719" s="43">
        <v>2</v>
      </c>
      <c r="B719" s="42" t="s">
        <v>234</v>
      </c>
      <c r="C719" s="85">
        <v>575.08076845599999</v>
      </c>
      <c r="D719" s="85"/>
      <c r="E719" s="85"/>
      <c r="F719" s="85"/>
      <c r="G719" s="85"/>
      <c r="H719" s="85"/>
      <c r="I719" s="85"/>
    </row>
    <row r="720" spans="1:10" ht="11.25" customHeight="1">
      <c r="A720" s="43">
        <v>2</v>
      </c>
      <c r="B720" s="42" t="s">
        <v>233</v>
      </c>
      <c r="C720" s="85">
        <v>464.98407746800001</v>
      </c>
      <c r="D720" s="85"/>
      <c r="E720" s="85"/>
      <c r="F720" s="85"/>
      <c r="G720" s="85"/>
      <c r="H720" s="85"/>
      <c r="I720" s="85"/>
    </row>
    <row r="721" spans="1:9" ht="11.25" customHeight="1">
      <c r="A721" s="43">
        <v>2</v>
      </c>
      <c r="B721" s="42" t="s">
        <v>235</v>
      </c>
      <c r="C721" s="85">
        <v>433.35758751999998</v>
      </c>
      <c r="D721" s="85"/>
      <c r="E721" s="85"/>
      <c r="F721" s="85"/>
      <c r="G721" s="85"/>
      <c r="H721" s="85"/>
      <c r="I721" s="85"/>
    </row>
    <row r="722" spans="1:9" ht="11.25" customHeight="1">
      <c r="A722" s="43">
        <v>2</v>
      </c>
      <c r="B722" s="42" t="s">
        <v>230</v>
      </c>
      <c r="C722" s="85">
        <v>414.15228595999997</v>
      </c>
      <c r="D722" s="85"/>
      <c r="E722" s="85"/>
      <c r="F722" s="85"/>
      <c r="G722" s="85"/>
      <c r="H722" s="85"/>
      <c r="I722" s="85"/>
    </row>
    <row r="723" spans="1:9" ht="11.25" customHeight="1">
      <c r="A723" s="43">
        <v>2</v>
      </c>
      <c r="B723" s="42" t="s">
        <v>229</v>
      </c>
      <c r="C723" s="85">
        <v>355.15495459200002</v>
      </c>
      <c r="D723" s="85"/>
      <c r="E723" s="85"/>
      <c r="F723" s="85"/>
      <c r="G723" s="85"/>
      <c r="H723" s="85"/>
      <c r="I723" s="85"/>
    </row>
    <row r="724" spans="1:9" ht="11.25" customHeight="1">
      <c r="A724" s="43">
        <v>2</v>
      </c>
      <c r="B724" s="42" t="s">
        <v>226</v>
      </c>
      <c r="C724" s="85">
        <v>228.998665684</v>
      </c>
      <c r="D724" s="85"/>
      <c r="E724" s="85"/>
      <c r="F724" s="85"/>
      <c r="G724" s="85"/>
      <c r="H724" s="85"/>
      <c r="I724" s="85"/>
    </row>
    <row r="725" spans="1:9" ht="11.25" customHeight="1">
      <c r="A725" s="43">
        <v>2</v>
      </c>
      <c r="B725" s="42" t="s">
        <v>225</v>
      </c>
      <c r="C725" s="85">
        <v>192.95098734800001</v>
      </c>
      <c r="D725" s="85"/>
      <c r="E725" s="85"/>
      <c r="F725" s="85"/>
      <c r="G725" s="85"/>
      <c r="H725" s="85"/>
      <c r="I725" s="85"/>
    </row>
    <row r="726" spans="1:9" ht="11.25" customHeight="1">
      <c r="A726" s="43">
        <v>2</v>
      </c>
      <c r="B726" s="42" t="s">
        <v>228</v>
      </c>
      <c r="C726" s="85">
        <v>97.397349219999995</v>
      </c>
      <c r="D726" s="85"/>
      <c r="E726" s="85"/>
      <c r="F726" s="85"/>
      <c r="G726" s="85"/>
      <c r="H726" s="85"/>
      <c r="I726" s="85"/>
    </row>
    <row r="727" spans="1:9" ht="11.25" customHeight="1">
      <c r="A727" s="43">
        <v>2</v>
      </c>
      <c r="B727" s="42" t="s">
        <v>227</v>
      </c>
      <c r="C727" s="85">
        <v>67.650329115999995</v>
      </c>
      <c r="D727" s="85"/>
      <c r="E727" s="85"/>
      <c r="F727" s="85"/>
      <c r="G727" s="85"/>
      <c r="H727" s="85"/>
      <c r="I727" s="85"/>
    </row>
    <row r="728" spans="1:9" ht="11.25" customHeight="1">
      <c r="A728" s="43">
        <v>3</v>
      </c>
      <c r="B728" s="42" t="s">
        <v>234</v>
      </c>
      <c r="C728" s="85">
        <v>595.65844442699995</v>
      </c>
      <c r="D728" s="85"/>
      <c r="E728" s="85"/>
      <c r="F728" s="85"/>
      <c r="G728" s="85"/>
      <c r="H728" s="85"/>
      <c r="I728" s="85"/>
    </row>
    <row r="729" spans="1:9" ht="11.25" customHeight="1">
      <c r="A729" s="43">
        <v>3</v>
      </c>
      <c r="B729" s="42" t="s">
        <v>231</v>
      </c>
      <c r="C729" s="85">
        <v>592.93117077800002</v>
      </c>
      <c r="D729" s="85"/>
      <c r="E729" s="85"/>
      <c r="F729" s="85"/>
      <c r="G729" s="85"/>
      <c r="H729" s="85"/>
      <c r="I729" s="85"/>
    </row>
    <row r="730" spans="1:9" ht="11.25" customHeight="1">
      <c r="A730" s="43">
        <v>3</v>
      </c>
      <c r="B730" s="42" t="s">
        <v>232</v>
      </c>
      <c r="C730" s="85">
        <v>587.46508285000004</v>
      </c>
      <c r="D730" s="85"/>
      <c r="E730" s="85"/>
      <c r="F730" s="85"/>
      <c r="G730" s="85"/>
      <c r="H730" s="85"/>
      <c r="I730" s="85"/>
    </row>
    <row r="731" spans="1:9" ht="11.25" customHeight="1">
      <c r="A731" s="43">
        <v>3</v>
      </c>
      <c r="B731" s="42" t="s">
        <v>233</v>
      </c>
      <c r="C731" s="85">
        <v>472.48511399099999</v>
      </c>
      <c r="D731" s="85"/>
      <c r="E731" s="85"/>
      <c r="F731" s="85"/>
      <c r="G731" s="85"/>
      <c r="H731" s="85"/>
      <c r="I731" s="85"/>
    </row>
    <row r="732" spans="1:9" ht="11.25" customHeight="1">
      <c r="A732" s="43">
        <v>3</v>
      </c>
      <c r="B732" s="42" t="s">
        <v>235</v>
      </c>
      <c r="C732" s="85">
        <v>448.50821396600003</v>
      </c>
      <c r="D732" s="85"/>
      <c r="E732" s="85"/>
      <c r="F732" s="85"/>
      <c r="G732" s="85"/>
      <c r="H732" s="85"/>
      <c r="I732" s="85"/>
    </row>
    <row r="733" spans="1:9" ht="11.25" customHeight="1">
      <c r="A733" s="43">
        <v>3</v>
      </c>
      <c r="B733" s="42" t="s">
        <v>230</v>
      </c>
      <c r="C733" s="85">
        <v>421.91583936699999</v>
      </c>
      <c r="D733" s="85"/>
      <c r="E733" s="85"/>
      <c r="F733" s="85"/>
      <c r="G733" s="85"/>
      <c r="H733" s="85"/>
      <c r="I733" s="85"/>
    </row>
    <row r="734" spans="1:9" ht="11.25" customHeight="1">
      <c r="A734" s="43">
        <v>3</v>
      </c>
      <c r="B734" s="42" t="s">
        <v>229</v>
      </c>
      <c r="C734" s="85">
        <v>372.45773007499997</v>
      </c>
      <c r="D734" s="85"/>
      <c r="E734" s="85"/>
      <c r="F734" s="85"/>
      <c r="G734" s="85"/>
      <c r="H734" s="85"/>
      <c r="I734" s="85"/>
    </row>
    <row r="735" spans="1:9" ht="11.25" customHeight="1">
      <c r="A735" s="43">
        <v>3</v>
      </c>
      <c r="B735" s="42" t="s">
        <v>226</v>
      </c>
      <c r="C735" s="85">
        <v>233.73491848899999</v>
      </c>
      <c r="D735" s="85"/>
      <c r="E735" s="85"/>
      <c r="F735" s="85"/>
      <c r="G735" s="85"/>
      <c r="H735" s="85"/>
      <c r="I735" s="85"/>
    </row>
    <row r="736" spans="1:9" ht="11.25" customHeight="1">
      <c r="A736" s="43">
        <v>3</v>
      </c>
      <c r="B736" s="42" t="s">
        <v>225</v>
      </c>
      <c r="C736" s="85">
        <v>198.12877891100001</v>
      </c>
      <c r="D736" s="85"/>
      <c r="E736" s="85"/>
      <c r="F736" s="85"/>
      <c r="G736" s="85"/>
      <c r="H736" s="85"/>
      <c r="I736" s="85"/>
    </row>
    <row r="737" spans="1:9" ht="11.25" customHeight="1">
      <c r="A737" s="43">
        <v>3</v>
      </c>
      <c r="B737" s="42" t="s">
        <v>228</v>
      </c>
      <c r="C737" s="85">
        <v>98.618582584999999</v>
      </c>
      <c r="D737" s="85"/>
      <c r="E737" s="85"/>
      <c r="F737" s="85"/>
      <c r="G737" s="85"/>
      <c r="H737" s="85"/>
      <c r="I737" s="85"/>
    </row>
    <row r="738" spans="1:9" ht="11.25" customHeight="1">
      <c r="A738" s="43">
        <v>3</v>
      </c>
      <c r="B738" s="42" t="s">
        <v>227</v>
      </c>
      <c r="C738" s="85">
        <v>69.063265180000002</v>
      </c>
      <c r="D738" s="85"/>
      <c r="E738" s="85"/>
      <c r="F738" s="85"/>
      <c r="G738" s="85"/>
      <c r="H738" s="85"/>
      <c r="I738" s="85"/>
    </row>
    <row r="739" spans="1:9" ht="11.25" customHeight="1">
      <c r="A739" s="43">
        <v>4</v>
      </c>
      <c r="B739" s="42" t="s">
        <v>234</v>
      </c>
      <c r="C739" s="85">
        <v>596.48360468500005</v>
      </c>
      <c r="D739" s="85"/>
      <c r="E739" s="85"/>
      <c r="F739" s="85"/>
      <c r="G739" s="85"/>
      <c r="H739" s="85"/>
      <c r="I739" s="85"/>
    </row>
    <row r="740" spans="1:9" ht="11.25" customHeight="1">
      <c r="A740" s="43">
        <v>4</v>
      </c>
      <c r="B740" s="42" t="s">
        <v>232</v>
      </c>
      <c r="C740" s="85">
        <v>591.75357682000003</v>
      </c>
      <c r="D740" s="85"/>
      <c r="E740" s="85"/>
      <c r="F740" s="85"/>
      <c r="G740" s="85"/>
      <c r="H740" s="85"/>
      <c r="I740" s="85"/>
    </row>
    <row r="741" spans="1:9" ht="11.25" customHeight="1">
      <c r="A741" s="43">
        <v>4</v>
      </c>
      <c r="B741" s="42" t="s">
        <v>231</v>
      </c>
      <c r="C741" s="85">
        <v>587.80699661200003</v>
      </c>
      <c r="D741" s="85"/>
      <c r="E741" s="85"/>
      <c r="F741" s="85"/>
      <c r="G741" s="85"/>
      <c r="H741" s="85"/>
      <c r="I741" s="85"/>
    </row>
    <row r="742" spans="1:9" ht="11.25" customHeight="1">
      <c r="A742" s="43">
        <v>4</v>
      </c>
      <c r="B742" s="42" t="s">
        <v>233</v>
      </c>
      <c r="C742" s="85">
        <v>480.31972759799999</v>
      </c>
      <c r="D742" s="85"/>
      <c r="E742" s="85"/>
      <c r="F742" s="85"/>
      <c r="G742" s="85"/>
      <c r="H742" s="85"/>
      <c r="I742" s="85"/>
    </row>
    <row r="743" spans="1:9" ht="11.25" customHeight="1">
      <c r="A743" s="43">
        <v>4</v>
      </c>
      <c r="B743" s="42" t="s">
        <v>235</v>
      </c>
      <c r="C743" s="85">
        <v>454.12619439600002</v>
      </c>
      <c r="D743" s="85"/>
      <c r="E743" s="85"/>
      <c r="F743" s="85"/>
      <c r="G743" s="85"/>
      <c r="H743" s="85"/>
      <c r="I743" s="85"/>
    </row>
    <row r="744" spans="1:9" ht="11.25" customHeight="1">
      <c r="A744" s="43">
        <v>4</v>
      </c>
      <c r="B744" s="42" t="s">
        <v>230</v>
      </c>
      <c r="C744" s="85">
        <v>430.534991719</v>
      </c>
      <c r="D744" s="85"/>
      <c r="E744" s="85"/>
      <c r="F744" s="85"/>
      <c r="G744" s="85"/>
      <c r="H744" s="85"/>
      <c r="I744" s="85"/>
    </row>
    <row r="745" spans="1:9" ht="11.25" customHeight="1">
      <c r="A745" s="43">
        <v>4</v>
      </c>
      <c r="B745" s="42" t="s">
        <v>229</v>
      </c>
      <c r="C745" s="85">
        <v>379.310223855</v>
      </c>
      <c r="D745" s="85"/>
      <c r="E745" s="85"/>
      <c r="F745" s="85"/>
      <c r="G745" s="85"/>
      <c r="H745" s="85"/>
      <c r="I745" s="85"/>
    </row>
    <row r="746" spans="1:9" ht="11.25" customHeight="1">
      <c r="A746" s="43">
        <v>4</v>
      </c>
      <c r="B746" s="42" t="s">
        <v>226</v>
      </c>
      <c r="C746" s="85">
        <v>244.00330660200001</v>
      </c>
      <c r="D746" s="85"/>
      <c r="E746" s="85"/>
      <c r="F746" s="85"/>
      <c r="G746" s="85"/>
      <c r="H746" s="85"/>
      <c r="I746" s="85"/>
    </row>
    <row r="747" spans="1:9" ht="11.25" customHeight="1">
      <c r="A747" s="43">
        <v>4</v>
      </c>
      <c r="B747" s="42" t="s">
        <v>225</v>
      </c>
      <c r="C747" s="85">
        <v>204.46210013000001</v>
      </c>
      <c r="D747" s="85"/>
      <c r="E747" s="85"/>
      <c r="F747" s="85"/>
      <c r="G747" s="85"/>
      <c r="H747" s="85"/>
      <c r="I747" s="85"/>
    </row>
    <row r="748" spans="1:9" ht="11.25" customHeight="1">
      <c r="A748" s="43">
        <v>4</v>
      </c>
      <c r="B748" s="42" t="s">
        <v>228</v>
      </c>
      <c r="C748" s="85">
        <v>105.33429125000001</v>
      </c>
      <c r="D748" s="85"/>
      <c r="E748" s="85"/>
      <c r="F748" s="85"/>
      <c r="G748" s="85"/>
      <c r="H748" s="85"/>
      <c r="I748" s="85"/>
    </row>
    <row r="749" spans="1:9" ht="11.25" customHeight="1">
      <c r="A749" s="43">
        <v>4</v>
      </c>
      <c r="B749" s="42" t="s">
        <v>227</v>
      </c>
      <c r="C749" s="85">
        <v>0</v>
      </c>
      <c r="D749" s="85"/>
      <c r="E749" s="85"/>
      <c r="F749" s="85"/>
      <c r="G749" s="85"/>
      <c r="H749" s="85"/>
      <c r="I749" s="85"/>
    </row>
    <row r="750" spans="1:9" ht="11.25" customHeight="1">
      <c r="A750" s="43">
        <v>5</v>
      </c>
      <c r="B750" s="42" t="s">
        <v>234</v>
      </c>
      <c r="C750" s="85">
        <v>597.31953806800004</v>
      </c>
      <c r="D750" s="85"/>
      <c r="E750" s="85"/>
      <c r="F750" s="85"/>
      <c r="G750" s="85"/>
      <c r="H750" s="85"/>
      <c r="I750" s="85"/>
    </row>
    <row r="751" spans="1:9" ht="11.25" customHeight="1">
      <c r="A751" s="43">
        <v>5</v>
      </c>
      <c r="B751" s="42" t="s">
        <v>232</v>
      </c>
      <c r="C751" s="85">
        <v>593.58290840799998</v>
      </c>
      <c r="D751" s="85"/>
      <c r="E751" s="85"/>
      <c r="F751" s="85"/>
      <c r="G751" s="85"/>
      <c r="H751" s="85"/>
      <c r="I751" s="85"/>
    </row>
    <row r="752" spans="1:9" ht="11.25" customHeight="1">
      <c r="A752" s="43">
        <v>5</v>
      </c>
      <c r="B752" s="42" t="s">
        <v>231</v>
      </c>
      <c r="C752" s="85">
        <v>586.28485411600002</v>
      </c>
      <c r="D752" s="85"/>
      <c r="E752" s="85"/>
      <c r="F752" s="85"/>
      <c r="G752" s="85"/>
      <c r="H752" s="85"/>
      <c r="I752" s="85"/>
    </row>
    <row r="753" spans="1:9" ht="11.25" customHeight="1">
      <c r="A753" s="43">
        <v>5</v>
      </c>
      <c r="B753" s="42" t="s">
        <v>233</v>
      </c>
      <c r="C753" s="85">
        <v>489.57380795199998</v>
      </c>
      <c r="D753" s="85"/>
      <c r="E753" s="85"/>
      <c r="F753" s="85"/>
      <c r="G753" s="85"/>
      <c r="H753" s="85"/>
      <c r="I753" s="85"/>
    </row>
    <row r="754" spans="1:9" ht="11.25" customHeight="1">
      <c r="A754" s="43">
        <v>5</v>
      </c>
      <c r="B754" s="42" t="s">
        <v>235</v>
      </c>
      <c r="C754" s="85">
        <v>464.26913503399999</v>
      </c>
      <c r="D754" s="85"/>
      <c r="E754" s="85"/>
      <c r="F754" s="85"/>
      <c r="G754" s="85"/>
      <c r="H754" s="85"/>
      <c r="I754" s="85"/>
    </row>
    <row r="755" spans="1:9" ht="11.25" customHeight="1">
      <c r="A755" s="43">
        <v>5</v>
      </c>
      <c r="B755" s="42" t="s">
        <v>230</v>
      </c>
      <c r="C755" s="85">
        <v>439.71999010899998</v>
      </c>
      <c r="D755" s="85"/>
      <c r="E755" s="85"/>
      <c r="F755" s="85"/>
      <c r="G755" s="85"/>
      <c r="H755" s="85"/>
      <c r="I755" s="85"/>
    </row>
    <row r="756" spans="1:9" ht="11.25" customHeight="1">
      <c r="A756" s="43">
        <v>5</v>
      </c>
      <c r="B756" s="42" t="s">
        <v>229</v>
      </c>
      <c r="C756" s="85">
        <v>392.35787754699999</v>
      </c>
      <c r="D756" s="85"/>
      <c r="E756" s="85"/>
      <c r="F756" s="85"/>
      <c r="G756" s="85"/>
      <c r="H756" s="85"/>
      <c r="I756" s="85"/>
    </row>
    <row r="757" spans="1:9" ht="11.25" customHeight="1">
      <c r="A757" s="43">
        <v>5</v>
      </c>
      <c r="B757" s="42" t="s">
        <v>226</v>
      </c>
      <c r="C757" s="85">
        <v>256.10727607699999</v>
      </c>
      <c r="D757" s="85"/>
      <c r="E757" s="85"/>
      <c r="F757" s="85"/>
      <c r="G757" s="85"/>
      <c r="H757" s="85"/>
      <c r="I757" s="85"/>
    </row>
    <row r="758" spans="1:9" ht="11.25" customHeight="1">
      <c r="A758" s="43">
        <v>5</v>
      </c>
      <c r="B758" s="42" t="s">
        <v>225</v>
      </c>
      <c r="C758" s="85">
        <v>236.24586527599999</v>
      </c>
      <c r="D758" s="85"/>
      <c r="E758" s="85"/>
      <c r="F758" s="85"/>
      <c r="G758" s="85"/>
      <c r="H758" s="85"/>
      <c r="I758" s="85"/>
    </row>
    <row r="759" spans="1:9" ht="11.25" customHeight="1">
      <c r="A759" s="43">
        <v>5</v>
      </c>
      <c r="B759" s="42" t="s">
        <v>228</v>
      </c>
      <c r="C759" s="85">
        <v>0</v>
      </c>
      <c r="D759" s="85"/>
      <c r="E759" s="85"/>
      <c r="F759" s="85"/>
      <c r="G759" s="85"/>
      <c r="H759" s="85"/>
      <c r="I759" s="85"/>
    </row>
    <row r="760" spans="1:9" ht="11.25" customHeight="1">
      <c r="A760" s="43">
        <v>5</v>
      </c>
      <c r="B760" s="42" t="s">
        <v>227</v>
      </c>
      <c r="C760" s="85">
        <v>0</v>
      </c>
      <c r="D760" s="85"/>
      <c r="E760" s="85"/>
      <c r="F760" s="85"/>
      <c r="G760" s="85"/>
      <c r="H760" s="85"/>
      <c r="I760" s="85"/>
    </row>
    <row r="761" spans="1:9" ht="11.25" customHeight="1">
      <c r="A761" s="43">
        <v>6</v>
      </c>
      <c r="B761" s="42" t="s">
        <v>232</v>
      </c>
      <c r="C761" s="85">
        <v>583.26108438000006</v>
      </c>
      <c r="D761" s="85"/>
      <c r="E761" s="85"/>
      <c r="F761" s="85"/>
      <c r="G761" s="85"/>
      <c r="H761" s="85"/>
      <c r="I761" s="85"/>
    </row>
    <row r="762" spans="1:9" ht="11.25" customHeight="1">
      <c r="A762" s="43">
        <v>6</v>
      </c>
      <c r="B762" s="42" t="s">
        <v>234</v>
      </c>
      <c r="C762" s="85">
        <v>583.13038866800002</v>
      </c>
      <c r="D762" s="85"/>
      <c r="E762" s="85"/>
      <c r="F762" s="85"/>
      <c r="G762" s="85"/>
      <c r="H762" s="85"/>
      <c r="I762" s="85"/>
    </row>
    <row r="763" spans="1:9" ht="11.25" customHeight="1">
      <c r="A763" s="43">
        <v>6</v>
      </c>
      <c r="B763" s="42" t="s">
        <v>231</v>
      </c>
      <c r="C763" s="85">
        <v>581.93434868500003</v>
      </c>
      <c r="D763" s="85"/>
      <c r="E763" s="85"/>
      <c r="F763" s="85"/>
      <c r="G763" s="85"/>
      <c r="H763" s="85"/>
      <c r="I763" s="85"/>
    </row>
    <row r="764" spans="1:9" ht="11.25" customHeight="1">
      <c r="A764" s="43">
        <v>6</v>
      </c>
      <c r="B764" s="42" t="s">
        <v>233</v>
      </c>
      <c r="C764" s="85">
        <v>493.98529348400001</v>
      </c>
      <c r="D764" s="85"/>
      <c r="E764" s="85"/>
      <c r="F764" s="85"/>
      <c r="G764" s="85"/>
      <c r="H764" s="85"/>
      <c r="I764" s="85"/>
    </row>
    <row r="765" spans="1:9" ht="11.25" customHeight="1">
      <c r="A765" s="43">
        <v>6</v>
      </c>
      <c r="B765" s="42" t="s">
        <v>235</v>
      </c>
      <c r="C765" s="85">
        <v>469.998577399</v>
      </c>
      <c r="D765" s="85"/>
      <c r="E765" s="85"/>
      <c r="F765" s="85"/>
      <c r="G765" s="85"/>
      <c r="H765" s="85"/>
      <c r="I765" s="85"/>
    </row>
    <row r="766" spans="1:9" ht="11.25" customHeight="1">
      <c r="A766" s="43">
        <v>6</v>
      </c>
      <c r="B766" s="42" t="s">
        <v>230</v>
      </c>
      <c r="C766" s="85">
        <v>443.95339725999997</v>
      </c>
      <c r="D766" s="85"/>
      <c r="E766" s="85"/>
      <c r="F766" s="85"/>
      <c r="G766" s="85"/>
      <c r="H766" s="85"/>
      <c r="I766" s="85"/>
    </row>
    <row r="767" spans="1:9" ht="11.25" customHeight="1">
      <c r="A767" s="43">
        <v>6</v>
      </c>
      <c r="B767" s="42" t="s">
        <v>229</v>
      </c>
      <c r="C767" s="85">
        <v>397.58552043200001</v>
      </c>
      <c r="D767" s="85"/>
      <c r="E767" s="85"/>
      <c r="F767" s="85"/>
      <c r="G767" s="85"/>
      <c r="H767" s="85"/>
      <c r="I767" s="85"/>
    </row>
    <row r="768" spans="1:9" ht="11.25" customHeight="1">
      <c r="A768" s="43">
        <v>6</v>
      </c>
      <c r="B768" s="42" t="s">
        <v>226</v>
      </c>
      <c r="C768" s="85">
        <v>258.33572139500001</v>
      </c>
      <c r="D768" s="85"/>
      <c r="E768" s="85"/>
      <c r="F768" s="85"/>
      <c r="G768" s="85"/>
      <c r="H768" s="85"/>
      <c r="I768" s="85"/>
    </row>
    <row r="769" spans="1:9" ht="11.25" customHeight="1">
      <c r="A769" s="43">
        <v>6</v>
      </c>
      <c r="B769" s="42" t="s">
        <v>225</v>
      </c>
      <c r="C769" s="85">
        <v>238.735129497</v>
      </c>
      <c r="D769" s="85"/>
      <c r="E769" s="85"/>
      <c r="F769" s="85"/>
      <c r="G769" s="85"/>
      <c r="H769" s="85"/>
      <c r="I769" s="85"/>
    </row>
    <row r="770" spans="1:9" ht="11.25" customHeight="1">
      <c r="A770" s="43">
        <v>6</v>
      </c>
      <c r="B770" s="42" t="s">
        <v>228</v>
      </c>
      <c r="C770" s="85">
        <v>0</v>
      </c>
      <c r="D770" s="85"/>
      <c r="E770" s="85"/>
      <c r="F770" s="85"/>
      <c r="G770" s="85"/>
      <c r="H770" s="85"/>
      <c r="I770" s="85"/>
    </row>
    <row r="771" spans="1:9" ht="11.25" customHeight="1">
      <c r="A771" s="43">
        <v>6</v>
      </c>
      <c r="B771" s="42" t="s">
        <v>227</v>
      </c>
      <c r="C771" s="85">
        <v>0</v>
      </c>
      <c r="D771" s="85"/>
      <c r="E771" s="85"/>
      <c r="F771" s="85"/>
      <c r="G771" s="85"/>
      <c r="H771" s="85"/>
      <c r="I771" s="85"/>
    </row>
    <row r="772" spans="1:9" ht="11.25" customHeight="1">
      <c r="A772" s="43">
        <v>7</v>
      </c>
      <c r="B772" s="42" t="s">
        <v>234</v>
      </c>
      <c r="C772" s="85">
        <v>610.524710271</v>
      </c>
      <c r="D772" s="85"/>
      <c r="E772" s="85"/>
      <c r="F772" s="85"/>
      <c r="G772" s="85"/>
      <c r="H772" s="85"/>
      <c r="I772" s="85"/>
    </row>
    <row r="773" spans="1:9" ht="11.25" customHeight="1">
      <c r="A773" s="43">
        <v>7</v>
      </c>
      <c r="B773" s="42" t="s">
        <v>232</v>
      </c>
      <c r="C773" s="85">
        <v>596.140762591</v>
      </c>
      <c r="D773" s="85"/>
      <c r="E773" s="85"/>
      <c r="F773" s="85"/>
      <c r="G773" s="85"/>
      <c r="H773" s="85"/>
      <c r="I773" s="85"/>
    </row>
    <row r="774" spans="1:9" ht="11.25" customHeight="1">
      <c r="A774" s="43">
        <v>7</v>
      </c>
      <c r="B774" s="42" t="s">
        <v>231</v>
      </c>
      <c r="C774" s="85">
        <v>586.74518307699998</v>
      </c>
      <c r="D774" s="85"/>
      <c r="E774" s="85"/>
      <c r="F774" s="85"/>
      <c r="G774" s="85"/>
      <c r="H774" s="85"/>
      <c r="I774" s="85"/>
    </row>
    <row r="775" spans="1:9" ht="11.25" customHeight="1">
      <c r="A775" s="43">
        <v>7</v>
      </c>
      <c r="B775" s="42" t="s">
        <v>233</v>
      </c>
      <c r="C775" s="85">
        <v>527.50230615299995</v>
      </c>
      <c r="D775" s="85"/>
      <c r="E775" s="85"/>
      <c r="F775" s="85"/>
      <c r="G775" s="85"/>
      <c r="H775" s="85"/>
      <c r="I775" s="85"/>
    </row>
    <row r="776" spans="1:9" ht="11.25" customHeight="1">
      <c r="A776" s="43">
        <v>7</v>
      </c>
      <c r="B776" s="42" t="s">
        <v>235</v>
      </c>
      <c r="C776" s="85">
        <v>492.56714107300002</v>
      </c>
      <c r="D776" s="85"/>
      <c r="E776" s="85"/>
      <c r="F776" s="85"/>
      <c r="G776" s="85"/>
      <c r="H776" s="85"/>
      <c r="I776" s="85"/>
    </row>
    <row r="777" spans="1:9" ht="11.25" customHeight="1">
      <c r="A777" s="43">
        <v>7</v>
      </c>
      <c r="B777" s="42" t="s">
        <v>230</v>
      </c>
      <c r="C777" s="85">
        <v>457.86669590299999</v>
      </c>
      <c r="D777" s="85"/>
      <c r="E777" s="85"/>
      <c r="F777" s="85"/>
      <c r="G777" s="85"/>
      <c r="H777" s="85"/>
      <c r="I777" s="85"/>
    </row>
    <row r="778" spans="1:9" ht="11.25" customHeight="1">
      <c r="A778" s="43">
        <v>7</v>
      </c>
      <c r="B778" s="42" t="s">
        <v>229</v>
      </c>
      <c r="C778" s="85">
        <v>436.06873431000002</v>
      </c>
      <c r="D778" s="85"/>
      <c r="E778" s="85"/>
      <c r="F778" s="85"/>
      <c r="G778" s="85"/>
      <c r="H778" s="85"/>
      <c r="I778" s="85"/>
    </row>
    <row r="779" spans="1:9" ht="11.25" customHeight="1">
      <c r="A779" s="43">
        <v>7</v>
      </c>
      <c r="B779" s="42" t="s">
        <v>226</v>
      </c>
      <c r="C779" s="85">
        <v>293.60979212199999</v>
      </c>
      <c r="D779" s="85"/>
      <c r="E779" s="85"/>
      <c r="F779" s="85"/>
      <c r="G779" s="85"/>
      <c r="H779" s="85"/>
      <c r="I779" s="85"/>
    </row>
    <row r="780" spans="1:9" ht="11.25" customHeight="1">
      <c r="A780" s="43">
        <v>7</v>
      </c>
      <c r="B780" s="42" t="s">
        <v>228</v>
      </c>
      <c r="C780" s="85">
        <v>0</v>
      </c>
      <c r="D780" s="85"/>
      <c r="E780" s="85"/>
      <c r="F780" s="85"/>
      <c r="G780" s="85"/>
      <c r="H780" s="85"/>
      <c r="I780" s="85"/>
    </row>
    <row r="781" spans="1:9" ht="11.25" customHeight="1">
      <c r="A781" s="43">
        <v>7</v>
      </c>
      <c r="B781" s="42" t="s">
        <v>227</v>
      </c>
      <c r="C781" s="85">
        <v>0</v>
      </c>
      <c r="D781" s="85"/>
      <c r="E781" s="85"/>
      <c r="F781" s="85"/>
      <c r="G781" s="85"/>
      <c r="H781" s="85"/>
      <c r="I781" s="85"/>
    </row>
    <row r="782" spans="1:9" ht="11.25" customHeight="1">
      <c r="A782" s="43">
        <v>7</v>
      </c>
      <c r="B782" s="42" t="s">
        <v>225</v>
      </c>
      <c r="C782" s="85">
        <v>0</v>
      </c>
      <c r="D782" s="85"/>
      <c r="E782" s="85"/>
      <c r="F782" s="85"/>
      <c r="G782" s="85"/>
      <c r="H782" s="85"/>
      <c r="I782" s="85"/>
    </row>
    <row r="783" spans="1:9" ht="11.25" customHeight="1">
      <c r="A783" s="43">
        <v>8</v>
      </c>
      <c r="B783" s="42" t="s">
        <v>234</v>
      </c>
      <c r="C783" s="85">
        <v>608.26583376200006</v>
      </c>
      <c r="D783" s="85"/>
      <c r="E783" s="85"/>
      <c r="F783" s="85"/>
      <c r="G783" s="85"/>
      <c r="H783" s="85"/>
      <c r="I783" s="85"/>
    </row>
    <row r="784" spans="1:9" ht="11.25" customHeight="1">
      <c r="A784" s="43">
        <v>8</v>
      </c>
      <c r="B784" s="42" t="s">
        <v>232</v>
      </c>
      <c r="C784" s="85">
        <v>598.29655354099998</v>
      </c>
      <c r="D784" s="85"/>
      <c r="E784" s="85"/>
      <c r="F784" s="85"/>
      <c r="G784" s="85"/>
      <c r="H784" s="85"/>
      <c r="I784" s="85"/>
    </row>
    <row r="785" spans="1:10" ht="11.25" customHeight="1">
      <c r="A785" s="43">
        <v>8</v>
      </c>
      <c r="B785" s="42" t="s">
        <v>233</v>
      </c>
      <c r="C785" s="85">
        <v>595.11182275700003</v>
      </c>
      <c r="D785" s="85"/>
      <c r="E785" s="85"/>
      <c r="F785" s="85"/>
      <c r="G785" s="85"/>
      <c r="H785" s="85"/>
      <c r="I785" s="85"/>
    </row>
    <row r="786" spans="1:10" ht="11.25" customHeight="1">
      <c r="A786" s="43">
        <v>8</v>
      </c>
      <c r="B786" s="42" t="s">
        <v>231</v>
      </c>
      <c r="C786" s="85">
        <v>593.32931717199995</v>
      </c>
      <c r="D786" s="85"/>
      <c r="E786" s="85"/>
      <c r="F786" s="85"/>
      <c r="G786" s="85"/>
      <c r="H786" s="85"/>
      <c r="I786" s="85"/>
    </row>
    <row r="787" spans="1:10" ht="11.25" customHeight="1">
      <c r="A787" s="43">
        <v>8</v>
      </c>
      <c r="B787" s="42" t="s">
        <v>235</v>
      </c>
      <c r="C787" s="85">
        <v>541.99588845899996</v>
      </c>
      <c r="D787" s="85"/>
      <c r="E787" s="85"/>
      <c r="F787" s="85"/>
      <c r="G787" s="85"/>
      <c r="H787" s="85"/>
      <c r="I787" s="85"/>
    </row>
    <row r="788" spans="1:10" ht="11.25" customHeight="1">
      <c r="A788" s="43">
        <v>8</v>
      </c>
      <c r="B788" s="42" t="s">
        <v>230</v>
      </c>
      <c r="C788" s="85">
        <v>506.95927182299999</v>
      </c>
      <c r="D788" s="85"/>
      <c r="E788" s="85"/>
      <c r="F788" s="85"/>
      <c r="G788" s="85"/>
      <c r="H788" s="85"/>
      <c r="I788" s="85"/>
    </row>
    <row r="789" spans="1:10" ht="11.25" customHeight="1">
      <c r="A789" s="43">
        <v>8</v>
      </c>
      <c r="B789" s="42" t="s">
        <v>229</v>
      </c>
      <c r="C789" s="85">
        <v>492.10454944700001</v>
      </c>
      <c r="D789" s="85"/>
      <c r="E789" s="85"/>
      <c r="F789" s="85"/>
      <c r="G789" s="85"/>
      <c r="H789" s="85"/>
      <c r="I789" s="85"/>
    </row>
    <row r="790" spans="1:10" ht="11.25" customHeight="1">
      <c r="A790" s="43">
        <v>8</v>
      </c>
      <c r="B790" s="42" t="s">
        <v>228</v>
      </c>
      <c r="C790" s="85">
        <v>0</v>
      </c>
      <c r="D790" s="85"/>
      <c r="E790" s="85"/>
      <c r="F790" s="85"/>
      <c r="G790" s="85"/>
      <c r="H790" s="85"/>
      <c r="I790" s="85"/>
    </row>
    <row r="791" spans="1:10" ht="11.25" customHeight="1">
      <c r="A791" s="43">
        <v>8</v>
      </c>
      <c r="B791" s="42" t="s">
        <v>227</v>
      </c>
      <c r="C791" s="85">
        <v>0</v>
      </c>
      <c r="D791" s="85"/>
      <c r="E791" s="85"/>
      <c r="F791" s="85"/>
      <c r="G791" s="85"/>
      <c r="H791" s="85"/>
      <c r="I791" s="85"/>
    </row>
    <row r="792" spans="1:10" ht="11.25" customHeight="1">
      <c r="A792" s="43">
        <v>8</v>
      </c>
      <c r="B792" s="42" t="s">
        <v>226</v>
      </c>
      <c r="C792" s="85">
        <v>0</v>
      </c>
      <c r="D792" s="85"/>
      <c r="E792" s="85"/>
      <c r="F792" s="85"/>
      <c r="G792" s="85"/>
      <c r="H792" s="85"/>
      <c r="I792" s="85"/>
    </row>
    <row r="793" spans="1:10" ht="11.25" customHeight="1">
      <c r="A793" s="43">
        <v>8</v>
      </c>
      <c r="B793" s="42" t="s">
        <v>225</v>
      </c>
      <c r="C793" s="85">
        <v>0</v>
      </c>
      <c r="D793" s="85"/>
      <c r="E793" s="85"/>
      <c r="F793" s="85"/>
      <c r="G793" s="85"/>
      <c r="H793" s="85"/>
      <c r="I793" s="85"/>
    </row>
    <row r="794" spans="1:10" ht="11.25" customHeight="1">
      <c r="A794" s="43">
        <v>9</v>
      </c>
      <c r="B794" s="42" t="s">
        <v>233</v>
      </c>
      <c r="C794" s="85">
        <v>577.99813937299996</v>
      </c>
      <c r="D794" s="85"/>
      <c r="E794" s="85"/>
      <c r="F794" s="85"/>
      <c r="G794" s="85"/>
      <c r="H794" s="85"/>
      <c r="I794" s="85"/>
    </row>
    <row r="795" spans="1:10" ht="11.25" customHeight="1">
      <c r="A795" s="43">
        <v>9</v>
      </c>
      <c r="B795" s="42" t="s">
        <v>234</v>
      </c>
      <c r="C795" s="85">
        <v>576.40867162400002</v>
      </c>
      <c r="D795" s="85"/>
      <c r="E795" s="85"/>
      <c r="F795" s="85"/>
      <c r="G795" s="85"/>
      <c r="H795" s="85"/>
      <c r="I795" s="85"/>
    </row>
    <row r="796" spans="1:10" ht="11.25" customHeight="1">
      <c r="A796" s="43">
        <v>9</v>
      </c>
      <c r="B796" s="42" t="s">
        <v>232</v>
      </c>
      <c r="C796" s="85">
        <v>575.93873852900003</v>
      </c>
      <c r="D796" s="85"/>
      <c r="E796" s="85"/>
      <c r="F796" s="85"/>
      <c r="G796" s="85"/>
      <c r="H796" s="85"/>
      <c r="I796" s="85"/>
    </row>
    <row r="797" spans="1:10" ht="11.25" customHeight="1">
      <c r="A797" s="43">
        <v>9</v>
      </c>
      <c r="B797" s="42" t="s">
        <v>231</v>
      </c>
      <c r="C797" s="85">
        <v>571.16446708700005</v>
      </c>
      <c r="D797" s="85"/>
      <c r="E797" s="85"/>
      <c r="F797" s="85"/>
      <c r="G797" s="85"/>
      <c r="H797" s="85"/>
      <c r="I797" s="85"/>
      <c r="J797" s="41"/>
    </row>
    <row r="798" spans="1:10" ht="11.25" customHeight="1">
      <c r="A798" s="43">
        <v>9</v>
      </c>
      <c r="B798" s="42" t="s">
        <v>235</v>
      </c>
      <c r="C798" s="85">
        <v>566.58288777099995</v>
      </c>
      <c r="D798" s="85"/>
      <c r="E798" s="85"/>
      <c r="F798" s="85"/>
      <c r="G798" s="85"/>
      <c r="H798" s="85"/>
      <c r="I798" s="85"/>
      <c r="J798" s="41"/>
    </row>
    <row r="799" spans="1:10" ht="11.25" customHeight="1">
      <c r="A799" s="43">
        <v>9</v>
      </c>
      <c r="B799" s="42" t="s">
        <v>230</v>
      </c>
      <c r="C799" s="85">
        <v>530.948100834</v>
      </c>
      <c r="D799" s="85"/>
      <c r="E799" s="85"/>
      <c r="F799" s="85"/>
      <c r="G799" s="85"/>
      <c r="H799" s="85"/>
      <c r="I799" s="85"/>
      <c r="J799" s="41"/>
    </row>
    <row r="800" spans="1:10" ht="11.25" customHeight="1">
      <c r="A800" s="43">
        <v>9</v>
      </c>
      <c r="B800" s="42" t="s">
        <v>229</v>
      </c>
      <c r="C800" s="85">
        <v>513.65562226899999</v>
      </c>
      <c r="D800" s="85"/>
      <c r="E800" s="85"/>
      <c r="F800" s="85"/>
      <c r="G800" s="85"/>
      <c r="H800" s="85"/>
      <c r="I800" s="85"/>
      <c r="J800" s="41"/>
    </row>
    <row r="801" spans="1:10" ht="11.25" customHeight="1">
      <c r="A801" s="43">
        <v>9</v>
      </c>
      <c r="B801" s="42" t="s">
        <v>228</v>
      </c>
      <c r="C801" s="85">
        <v>0</v>
      </c>
      <c r="D801" s="85"/>
      <c r="E801" s="85"/>
      <c r="F801" s="85"/>
      <c r="G801" s="85"/>
      <c r="H801" s="85"/>
      <c r="I801" s="85"/>
      <c r="J801" s="41"/>
    </row>
    <row r="802" spans="1:10" ht="11.25" customHeight="1">
      <c r="A802" s="43">
        <v>9</v>
      </c>
      <c r="B802" s="42" t="s">
        <v>227</v>
      </c>
      <c r="C802" s="85">
        <v>0</v>
      </c>
      <c r="D802" s="85"/>
      <c r="E802" s="85"/>
      <c r="F802" s="85"/>
      <c r="G802" s="85"/>
      <c r="H802" s="85"/>
      <c r="I802" s="85"/>
      <c r="J802" s="41"/>
    </row>
    <row r="803" spans="1:10" ht="11.25" customHeight="1">
      <c r="A803" s="43">
        <v>9</v>
      </c>
      <c r="B803" s="42" t="s">
        <v>226</v>
      </c>
      <c r="C803" s="85">
        <v>0</v>
      </c>
      <c r="D803" s="85"/>
      <c r="E803" s="85"/>
      <c r="F803" s="85"/>
      <c r="G803" s="85"/>
      <c r="H803" s="85"/>
      <c r="I803" s="85"/>
      <c r="J803" s="41"/>
    </row>
    <row r="804" spans="1:10" ht="11.25" customHeight="1">
      <c r="A804" s="43">
        <v>9</v>
      </c>
      <c r="B804" s="42" t="s">
        <v>225</v>
      </c>
      <c r="C804" s="85">
        <v>0</v>
      </c>
      <c r="D804" s="85"/>
      <c r="E804" s="85"/>
      <c r="F804" s="85"/>
      <c r="G804" s="85"/>
      <c r="H804" s="85"/>
      <c r="I804" s="85"/>
      <c r="J804" s="41"/>
    </row>
    <row r="805" spans="1:10" ht="11.25" customHeight="1">
      <c r="A805" s="43">
        <v>10</v>
      </c>
      <c r="B805" s="42" t="s">
        <v>235</v>
      </c>
      <c r="C805" s="85">
        <v>570.03728889900003</v>
      </c>
      <c r="D805" s="85"/>
      <c r="E805" s="85"/>
      <c r="F805" s="85"/>
      <c r="G805" s="85"/>
      <c r="H805" s="85"/>
      <c r="I805" s="85"/>
      <c r="J805" s="41"/>
    </row>
    <row r="806" spans="1:10" ht="11.25" customHeight="1">
      <c r="A806" s="43">
        <v>10</v>
      </c>
      <c r="B806" s="42" t="s">
        <v>234</v>
      </c>
      <c r="C806" s="85">
        <v>566.54980065899997</v>
      </c>
      <c r="D806" s="85"/>
      <c r="E806" s="85"/>
      <c r="F806" s="85"/>
      <c r="G806" s="85"/>
      <c r="H806" s="85"/>
      <c r="I806" s="85"/>
      <c r="J806" s="41"/>
    </row>
    <row r="807" spans="1:10" ht="11.25" customHeight="1">
      <c r="A807" s="43">
        <v>10</v>
      </c>
      <c r="B807" s="42" t="s">
        <v>233</v>
      </c>
      <c r="C807" s="85">
        <v>566.14379489099997</v>
      </c>
      <c r="D807" s="85"/>
      <c r="E807" s="85"/>
      <c r="F807" s="85"/>
      <c r="G807" s="85"/>
      <c r="H807" s="85"/>
      <c r="I807" s="85"/>
      <c r="J807" s="41"/>
    </row>
    <row r="808" spans="1:10" ht="11.25" customHeight="1">
      <c r="A808" s="43">
        <v>10</v>
      </c>
      <c r="B808" s="42" t="s">
        <v>232</v>
      </c>
      <c r="C808" s="85">
        <v>565.41068127400001</v>
      </c>
      <c r="D808" s="85"/>
      <c r="E808" s="85"/>
      <c r="F808" s="85"/>
      <c r="G808" s="85"/>
      <c r="H808" s="85"/>
      <c r="I808" s="85"/>
      <c r="J808" s="41"/>
    </row>
    <row r="809" spans="1:10" ht="11.25" customHeight="1">
      <c r="A809" s="43">
        <v>10</v>
      </c>
      <c r="B809" s="42" t="s">
        <v>231</v>
      </c>
      <c r="C809" s="85">
        <v>563.48142270899996</v>
      </c>
      <c r="D809" s="85"/>
      <c r="E809" s="85"/>
      <c r="F809" s="85"/>
      <c r="G809" s="85"/>
      <c r="H809" s="85"/>
      <c r="I809" s="85"/>
      <c r="J809" s="41"/>
    </row>
    <row r="810" spans="1:10" ht="11.25" customHeight="1">
      <c r="A810" s="43">
        <v>10</v>
      </c>
      <c r="B810" s="42" t="s">
        <v>230</v>
      </c>
      <c r="C810" s="85">
        <v>543.64827562699998</v>
      </c>
      <c r="D810" s="85"/>
      <c r="E810" s="85"/>
      <c r="F810" s="85"/>
      <c r="G810" s="85"/>
      <c r="H810" s="85"/>
      <c r="I810" s="85"/>
      <c r="J810" s="41"/>
    </row>
    <row r="811" spans="1:10" ht="11.25" customHeight="1">
      <c r="A811" s="43">
        <v>10</v>
      </c>
      <c r="B811" s="42" t="s">
        <v>229</v>
      </c>
      <c r="C811" s="85">
        <v>525.15003659299998</v>
      </c>
      <c r="D811" s="85"/>
      <c r="E811" s="85"/>
      <c r="F811" s="85"/>
      <c r="G811" s="85"/>
      <c r="H811" s="85"/>
      <c r="I811" s="85"/>
      <c r="J811" s="41"/>
    </row>
    <row r="812" spans="1:10" ht="11.25" customHeight="1">
      <c r="A812" s="43">
        <v>10</v>
      </c>
      <c r="B812" s="42" t="s">
        <v>228</v>
      </c>
      <c r="C812" s="85">
        <v>0</v>
      </c>
      <c r="D812" s="85"/>
      <c r="E812" s="85"/>
      <c r="F812" s="85"/>
      <c r="G812" s="85"/>
      <c r="H812" s="85"/>
      <c r="I812" s="85"/>
      <c r="J812" s="41"/>
    </row>
    <row r="813" spans="1:10" ht="11.25" customHeight="1">
      <c r="A813" s="43">
        <v>10</v>
      </c>
      <c r="B813" s="42" t="s">
        <v>227</v>
      </c>
      <c r="C813" s="85">
        <v>0</v>
      </c>
      <c r="D813" s="85"/>
      <c r="E813" s="85"/>
      <c r="F813" s="85"/>
      <c r="G813" s="85"/>
      <c r="H813" s="85"/>
      <c r="I813" s="85"/>
      <c r="J813" s="41"/>
    </row>
    <row r="814" spans="1:10" ht="11.25" customHeight="1">
      <c r="A814" s="43">
        <v>10</v>
      </c>
      <c r="B814" s="42" t="s">
        <v>226</v>
      </c>
      <c r="C814" s="85">
        <v>0</v>
      </c>
      <c r="D814" s="85"/>
      <c r="E814" s="85"/>
      <c r="F814" s="85"/>
      <c r="G814" s="85"/>
      <c r="H814" s="85"/>
      <c r="I814" s="85"/>
      <c r="J814" s="41"/>
    </row>
    <row r="815" spans="1:10" ht="11.25" customHeight="1">
      <c r="A815" s="43">
        <v>10</v>
      </c>
      <c r="B815" s="42" t="s">
        <v>225</v>
      </c>
      <c r="C815" s="85">
        <v>0</v>
      </c>
      <c r="D815" s="85"/>
      <c r="E815" s="85"/>
      <c r="F815" s="85"/>
      <c r="G815" s="85"/>
      <c r="H815" s="85"/>
      <c r="I815" s="85"/>
      <c r="J815" s="41"/>
    </row>
    <row r="816" spans="1:10" ht="11.25" customHeight="1">
      <c r="A816" s="43">
        <v>11</v>
      </c>
      <c r="B816" s="42" t="s">
        <v>235</v>
      </c>
      <c r="C816" s="85">
        <v>562.66719755899999</v>
      </c>
      <c r="D816" s="85"/>
      <c r="E816" s="85"/>
      <c r="F816" s="85"/>
      <c r="G816" s="85"/>
      <c r="H816" s="85"/>
      <c r="I816" s="85"/>
      <c r="J816" s="41"/>
    </row>
    <row r="817" spans="1:10" ht="11.25" customHeight="1">
      <c r="A817" s="43">
        <v>11</v>
      </c>
      <c r="B817" s="42" t="s">
        <v>234</v>
      </c>
      <c r="C817" s="85">
        <v>562.12034804999996</v>
      </c>
      <c r="D817" s="85"/>
      <c r="E817" s="85"/>
      <c r="F817" s="85"/>
      <c r="G817" s="85"/>
      <c r="H817" s="85"/>
      <c r="I817" s="85"/>
      <c r="J817" s="41"/>
    </row>
    <row r="818" spans="1:10" ht="11.25" customHeight="1">
      <c r="A818" s="43">
        <v>11</v>
      </c>
      <c r="B818" s="42" t="s">
        <v>233</v>
      </c>
      <c r="C818" s="85">
        <v>562.08645787700004</v>
      </c>
      <c r="D818" s="85"/>
      <c r="E818" s="85"/>
      <c r="F818" s="85"/>
      <c r="G818" s="85"/>
      <c r="H818" s="85"/>
      <c r="I818" s="85"/>
      <c r="J818" s="41"/>
    </row>
    <row r="819" spans="1:10" ht="11.25" customHeight="1">
      <c r="A819" s="43">
        <v>11</v>
      </c>
      <c r="B819" s="42" t="s">
        <v>232</v>
      </c>
      <c r="C819" s="85">
        <v>561.458141415</v>
      </c>
      <c r="D819" s="85"/>
      <c r="E819" s="85"/>
      <c r="F819" s="85"/>
      <c r="G819" s="85"/>
      <c r="H819" s="85"/>
      <c r="I819" s="85"/>
      <c r="J819" s="41"/>
    </row>
    <row r="820" spans="1:10" ht="11.25" customHeight="1">
      <c r="A820" s="43">
        <v>11</v>
      </c>
      <c r="B820" s="42" t="s">
        <v>231</v>
      </c>
      <c r="C820" s="85">
        <v>560.00777956599995</v>
      </c>
      <c r="D820" s="85"/>
      <c r="E820" s="85"/>
      <c r="F820" s="85"/>
      <c r="G820" s="85"/>
      <c r="H820" s="85"/>
      <c r="I820" s="85"/>
      <c r="J820" s="41"/>
    </row>
    <row r="821" spans="1:10" ht="11.25" customHeight="1">
      <c r="A821" s="43">
        <v>11</v>
      </c>
      <c r="B821" s="42" t="s">
        <v>230</v>
      </c>
      <c r="C821" s="85">
        <v>551.48085079299995</v>
      </c>
      <c r="D821" s="85"/>
      <c r="E821" s="85"/>
      <c r="F821" s="85"/>
      <c r="G821" s="85"/>
      <c r="H821" s="85"/>
      <c r="I821" s="85"/>
      <c r="J821" s="41"/>
    </row>
    <row r="822" spans="1:10" ht="11.25" customHeight="1">
      <c r="A822" s="43">
        <v>11</v>
      </c>
      <c r="B822" s="42" t="s">
        <v>229</v>
      </c>
      <c r="C822" s="85">
        <v>532.66595314799997</v>
      </c>
      <c r="D822" s="85"/>
      <c r="E822" s="85"/>
      <c r="F822" s="85"/>
      <c r="G822" s="85"/>
      <c r="H822" s="85"/>
      <c r="I822" s="85"/>
      <c r="J822" s="41"/>
    </row>
    <row r="823" spans="1:10" ht="11.25" customHeight="1">
      <c r="A823" s="43">
        <v>11</v>
      </c>
      <c r="B823" s="42" t="s">
        <v>228</v>
      </c>
      <c r="C823" s="85">
        <v>0</v>
      </c>
      <c r="D823" s="85"/>
      <c r="E823" s="85"/>
      <c r="F823" s="85"/>
      <c r="G823" s="85"/>
      <c r="H823" s="85"/>
      <c r="I823" s="85"/>
      <c r="J823" s="41"/>
    </row>
    <row r="824" spans="1:10" ht="11.25" customHeight="1">
      <c r="A824" s="43">
        <v>11</v>
      </c>
      <c r="B824" s="42" t="s">
        <v>227</v>
      </c>
      <c r="C824" s="85">
        <v>0</v>
      </c>
      <c r="D824" s="85"/>
      <c r="E824" s="85"/>
      <c r="F824" s="85"/>
      <c r="G824" s="85"/>
      <c r="H824" s="85"/>
      <c r="I824" s="85"/>
      <c r="J824" s="41"/>
    </row>
    <row r="825" spans="1:10" ht="11.25" customHeight="1">
      <c r="A825" s="43">
        <v>11</v>
      </c>
      <c r="B825" s="42" t="s">
        <v>226</v>
      </c>
      <c r="C825" s="85">
        <v>0</v>
      </c>
      <c r="D825" s="85"/>
      <c r="E825" s="85"/>
      <c r="F825" s="85"/>
      <c r="G825" s="85"/>
      <c r="H825" s="85"/>
      <c r="I825" s="85"/>
      <c r="J825" s="41"/>
    </row>
    <row r="826" spans="1:10" ht="11.25" customHeight="1">
      <c r="A826" s="43">
        <v>11</v>
      </c>
      <c r="B826" s="42" t="s">
        <v>225</v>
      </c>
      <c r="C826" s="85">
        <v>0</v>
      </c>
      <c r="D826" s="85"/>
      <c r="E826" s="85"/>
      <c r="F826" s="85"/>
      <c r="G826" s="85"/>
      <c r="H826" s="85"/>
      <c r="I826" s="85"/>
      <c r="J826" s="41"/>
    </row>
    <row r="827" spans="1:10" ht="11.25" customHeight="1">
      <c r="A827" s="43">
        <v>12</v>
      </c>
      <c r="B827" s="42" t="s">
        <v>235</v>
      </c>
      <c r="C827" s="85">
        <v>559.60290756699999</v>
      </c>
      <c r="D827" s="85"/>
      <c r="E827" s="85"/>
      <c r="F827" s="85"/>
      <c r="G827" s="85"/>
      <c r="H827" s="85"/>
      <c r="I827" s="85"/>
      <c r="J827" s="41"/>
    </row>
    <row r="828" spans="1:10" ht="11.25" customHeight="1">
      <c r="A828" s="43">
        <v>12</v>
      </c>
      <c r="B828" s="42" t="s">
        <v>234</v>
      </c>
      <c r="C828" s="85">
        <v>559.00449135500003</v>
      </c>
      <c r="D828" s="85"/>
      <c r="E828" s="85"/>
      <c r="F828" s="85"/>
      <c r="G828" s="85"/>
      <c r="H828" s="85"/>
      <c r="I828" s="85"/>
      <c r="J828" s="41"/>
    </row>
    <row r="829" spans="1:10" ht="11.25" customHeight="1">
      <c r="A829" s="43">
        <v>12</v>
      </c>
      <c r="B829" s="42" t="s">
        <v>233</v>
      </c>
      <c r="C829" s="85">
        <v>558.96109304799995</v>
      </c>
      <c r="D829" s="85"/>
      <c r="E829" s="85"/>
      <c r="F829" s="85"/>
      <c r="G829" s="85"/>
      <c r="H829" s="85"/>
      <c r="I829" s="85"/>
      <c r="J829" s="41"/>
    </row>
    <row r="830" spans="1:10" ht="11.25" customHeight="1">
      <c r="A830" s="43">
        <v>12</v>
      </c>
      <c r="B830" s="42" t="s">
        <v>232</v>
      </c>
      <c r="C830" s="85">
        <v>558.61824593599999</v>
      </c>
      <c r="D830" s="85"/>
      <c r="E830" s="85"/>
      <c r="F830" s="85"/>
      <c r="G830" s="85"/>
      <c r="H830" s="85"/>
      <c r="I830" s="85"/>
      <c r="J830" s="41"/>
    </row>
    <row r="831" spans="1:10" ht="11.25" customHeight="1">
      <c r="A831" s="43">
        <v>12</v>
      </c>
      <c r="B831" s="42" t="s">
        <v>231</v>
      </c>
      <c r="C831" s="85">
        <v>557.78040722499998</v>
      </c>
      <c r="D831" s="85"/>
      <c r="E831" s="85"/>
      <c r="F831" s="85"/>
      <c r="G831" s="85"/>
      <c r="H831" s="85"/>
      <c r="I831" s="85"/>
      <c r="J831" s="41"/>
    </row>
    <row r="832" spans="1:10" ht="11.25" customHeight="1">
      <c r="A832" s="43">
        <v>12</v>
      </c>
      <c r="B832" s="42" t="s">
        <v>230</v>
      </c>
      <c r="C832" s="85">
        <v>556.34738497700005</v>
      </c>
      <c r="D832" s="85"/>
      <c r="E832" s="85"/>
      <c r="F832" s="85"/>
      <c r="G832" s="85"/>
      <c r="H832" s="85"/>
      <c r="I832" s="85"/>
      <c r="J832" s="41"/>
    </row>
    <row r="833" spans="1:10" ht="11.25" customHeight="1">
      <c r="A833" s="43">
        <v>12</v>
      </c>
      <c r="B833" s="42" t="s">
        <v>229</v>
      </c>
      <c r="C833" s="85">
        <v>537.28882003700005</v>
      </c>
      <c r="D833" s="85"/>
      <c r="E833" s="85"/>
      <c r="F833" s="85"/>
      <c r="G833" s="85"/>
      <c r="H833" s="85"/>
      <c r="I833" s="85"/>
      <c r="J833" s="41"/>
    </row>
    <row r="834" spans="1:10" ht="11.25" customHeight="1">
      <c r="A834" s="43">
        <v>12</v>
      </c>
      <c r="B834" s="42" t="s">
        <v>228</v>
      </c>
      <c r="C834" s="85">
        <v>0</v>
      </c>
      <c r="D834" s="85"/>
      <c r="E834" s="85"/>
      <c r="F834" s="85"/>
      <c r="G834" s="85"/>
      <c r="H834" s="85"/>
      <c r="I834" s="85"/>
      <c r="J834" s="41"/>
    </row>
    <row r="835" spans="1:10" ht="11.25" customHeight="1">
      <c r="A835" s="43">
        <v>12</v>
      </c>
      <c r="B835" s="42" t="s">
        <v>227</v>
      </c>
      <c r="C835" s="85">
        <v>0</v>
      </c>
      <c r="D835" s="85"/>
      <c r="E835" s="85"/>
      <c r="F835" s="85"/>
      <c r="G835" s="85"/>
      <c r="H835" s="85"/>
      <c r="I835" s="85"/>
      <c r="J835" s="41"/>
    </row>
    <row r="836" spans="1:10" ht="11.25" customHeight="1">
      <c r="A836" s="43">
        <v>12</v>
      </c>
      <c r="B836" s="42" t="s">
        <v>226</v>
      </c>
      <c r="C836" s="85">
        <v>0</v>
      </c>
      <c r="D836" s="85"/>
      <c r="E836" s="85"/>
      <c r="F836" s="85"/>
      <c r="G836" s="85"/>
      <c r="H836" s="85"/>
      <c r="I836" s="85"/>
      <c r="J836" s="41"/>
    </row>
    <row r="837" spans="1:10" ht="18.5" customHeight="1">
      <c r="A837" s="43">
        <v>12</v>
      </c>
      <c r="B837" s="42" t="s">
        <v>225</v>
      </c>
      <c r="C837" s="85">
        <v>0</v>
      </c>
      <c r="D837" s="85"/>
      <c r="E837" s="85"/>
      <c r="F837" s="85"/>
      <c r="G837" s="85"/>
      <c r="H837" s="85"/>
      <c r="I837" s="85"/>
      <c r="J837" s="41"/>
    </row>
    <row r="838" spans="1:10" ht="23" customHeight="1">
      <c r="A838" s="84" t="s">
        <v>224</v>
      </c>
      <c r="B838" s="84"/>
      <c r="C838" s="84"/>
      <c r="D838" s="84"/>
      <c r="E838" s="84"/>
      <c r="F838" s="84"/>
      <c r="G838" s="84"/>
      <c r="H838" s="84"/>
      <c r="I838" s="84"/>
      <c r="J838" s="84"/>
    </row>
    <row r="839" spans="1:10" ht="23" customHeight="1">
      <c r="A839" s="76" t="s">
        <v>223</v>
      </c>
      <c r="B839" s="76"/>
      <c r="C839" s="76"/>
      <c r="D839" s="76"/>
      <c r="E839" s="76"/>
      <c r="F839" s="76"/>
      <c r="G839" s="76"/>
      <c r="H839" s="76"/>
      <c r="I839" s="76"/>
      <c r="J839" s="76"/>
    </row>
    <row r="840" spans="1:10" ht="23" customHeight="1">
      <c r="A840" s="76" t="s">
        <v>222</v>
      </c>
      <c r="B840" s="76"/>
      <c r="C840" s="76"/>
      <c r="D840" s="76"/>
      <c r="E840" s="76"/>
      <c r="F840" s="76"/>
      <c r="G840" s="76"/>
      <c r="H840" s="76"/>
      <c r="I840" s="76"/>
      <c r="J840" s="76"/>
    </row>
    <row r="841" spans="1:10" ht="23" customHeight="1">
      <c r="A841" s="76" t="s">
        <v>221</v>
      </c>
      <c r="B841" s="76"/>
      <c r="C841" s="76"/>
      <c r="D841" s="76"/>
      <c r="E841" s="76"/>
      <c r="F841" s="76"/>
      <c r="G841" s="76"/>
      <c r="H841" s="76"/>
      <c r="I841" s="76"/>
      <c r="J841" s="76"/>
    </row>
    <row r="842" spans="1:10" ht="35" customHeight="1">
      <c r="A842" s="76" t="s">
        <v>220</v>
      </c>
      <c r="B842" s="76"/>
      <c r="C842" s="76"/>
      <c r="D842" s="76"/>
      <c r="E842" s="76"/>
      <c r="F842" s="76"/>
      <c r="G842" s="76"/>
      <c r="H842" s="76"/>
      <c r="I842" s="76"/>
      <c r="J842" s="76"/>
    </row>
    <row r="843" spans="1:10" ht="34.049999999999997" customHeight="1">
      <c r="A843" s="76" t="s">
        <v>219</v>
      </c>
      <c r="B843" s="76"/>
      <c r="C843" s="76"/>
      <c r="D843" s="76"/>
      <c r="E843" s="76"/>
      <c r="F843" s="76"/>
      <c r="G843" s="76"/>
      <c r="H843" s="76"/>
      <c r="I843" s="76"/>
      <c r="J843" s="76"/>
    </row>
    <row r="844" spans="1:10" ht="35" customHeight="1">
      <c r="A844" s="76" t="s">
        <v>218</v>
      </c>
      <c r="B844" s="76"/>
      <c r="C844" s="76"/>
      <c r="D844" s="76"/>
      <c r="E844" s="76"/>
      <c r="F844" s="76"/>
      <c r="G844" s="76"/>
      <c r="H844" s="76"/>
      <c r="I844" s="76"/>
      <c r="J844" s="76"/>
    </row>
    <row r="845" spans="1:10" ht="34.049999999999997" customHeight="1">
      <c r="A845" s="76" t="s">
        <v>217</v>
      </c>
      <c r="B845" s="76"/>
      <c r="C845" s="76"/>
      <c r="D845" s="76"/>
      <c r="E845" s="76"/>
      <c r="F845" s="76"/>
      <c r="G845" s="76"/>
      <c r="H845" s="76"/>
      <c r="I845" s="76"/>
      <c r="J845" s="76"/>
    </row>
    <row r="846" spans="1:10" ht="23" customHeight="1">
      <c r="A846" s="76" t="s">
        <v>216</v>
      </c>
      <c r="B846" s="76"/>
      <c r="C846" s="76"/>
      <c r="D846" s="76"/>
      <c r="E846" s="76"/>
      <c r="F846" s="76"/>
      <c r="G846" s="76"/>
      <c r="H846" s="76"/>
      <c r="I846" s="76"/>
      <c r="J846" s="76"/>
    </row>
    <row r="847" spans="1:10" ht="23" customHeight="1">
      <c r="A847" s="76" t="s">
        <v>215</v>
      </c>
      <c r="B847" s="76"/>
      <c r="C847" s="76"/>
      <c r="D847" s="76"/>
      <c r="E847" s="76"/>
      <c r="F847" s="76"/>
      <c r="G847" s="76"/>
      <c r="H847" s="76"/>
      <c r="I847" s="76"/>
      <c r="J847" s="76"/>
    </row>
    <row r="848" spans="1:10" ht="23" customHeight="1">
      <c r="A848" s="76" t="s">
        <v>214</v>
      </c>
      <c r="B848" s="76"/>
      <c r="C848" s="76"/>
      <c r="D848" s="76"/>
      <c r="E848" s="76"/>
      <c r="F848" s="76"/>
      <c r="G848" s="76"/>
      <c r="H848" s="76"/>
      <c r="I848" s="76"/>
      <c r="J848" s="76"/>
    </row>
    <row r="849" spans="1:10" ht="14.25" customHeight="1">
      <c r="A849" s="76" t="s">
        <v>213</v>
      </c>
      <c r="B849" s="76"/>
      <c r="C849" s="76"/>
      <c r="D849" s="76"/>
      <c r="E849" s="76"/>
      <c r="F849" s="76"/>
      <c r="G849" s="76"/>
      <c r="H849" s="76"/>
      <c r="I849" s="76"/>
      <c r="J849" s="76"/>
    </row>
  </sheetData>
  <mergeCells count="1029">
    <mergeCell ref="A849:J849"/>
    <mergeCell ref="C825:I825"/>
    <mergeCell ref="C826:I826"/>
    <mergeCell ref="C827:I827"/>
    <mergeCell ref="C828:I828"/>
    <mergeCell ref="C829:I829"/>
    <mergeCell ref="C830:I830"/>
    <mergeCell ref="C831:I831"/>
    <mergeCell ref="C832:I832"/>
    <mergeCell ref="A842:J842"/>
    <mergeCell ref="A843:J843"/>
    <mergeCell ref="A844:J844"/>
    <mergeCell ref="A845:J845"/>
    <mergeCell ref="A846:J846"/>
    <mergeCell ref="A847:J847"/>
    <mergeCell ref="A839:J839"/>
    <mergeCell ref="A840:J840"/>
    <mergeCell ref="A841:J841"/>
    <mergeCell ref="C808:I808"/>
    <mergeCell ref="C809:I809"/>
    <mergeCell ref="C810:I810"/>
    <mergeCell ref="C811:I811"/>
    <mergeCell ref="C812:I812"/>
    <mergeCell ref="C813:I813"/>
    <mergeCell ref="C814:I814"/>
    <mergeCell ref="C833:I833"/>
    <mergeCell ref="C834:I834"/>
    <mergeCell ref="C835:I835"/>
    <mergeCell ref="C836:I836"/>
    <mergeCell ref="C837:I837"/>
    <mergeCell ref="A838:J838"/>
    <mergeCell ref="A848:J848"/>
    <mergeCell ref="C774:I774"/>
    <mergeCell ref="C775:I775"/>
    <mergeCell ref="C776:I776"/>
    <mergeCell ref="C777:I777"/>
    <mergeCell ref="C778:I778"/>
    <mergeCell ref="C797:I797"/>
    <mergeCell ref="C798:I798"/>
    <mergeCell ref="C799:I799"/>
    <mergeCell ref="C800:I800"/>
    <mergeCell ref="C801:I801"/>
    <mergeCell ref="C802:I802"/>
    <mergeCell ref="C821:I821"/>
    <mergeCell ref="C822:I822"/>
    <mergeCell ref="C823:I823"/>
    <mergeCell ref="C824:I824"/>
    <mergeCell ref="C791:I791"/>
    <mergeCell ref="C792:I792"/>
    <mergeCell ref="C793:I793"/>
    <mergeCell ref="C794:I794"/>
    <mergeCell ref="C795:I795"/>
    <mergeCell ref="C796:I796"/>
    <mergeCell ref="C815:I815"/>
    <mergeCell ref="C816:I816"/>
    <mergeCell ref="C817:I817"/>
    <mergeCell ref="C818:I818"/>
    <mergeCell ref="C819:I819"/>
    <mergeCell ref="C820:I820"/>
    <mergeCell ref="C785:I785"/>
    <mergeCell ref="C786:I786"/>
    <mergeCell ref="C787:I787"/>
    <mergeCell ref="C788:I788"/>
    <mergeCell ref="C789:I789"/>
    <mergeCell ref="C790:I790"/>
    <mergeCell ref="C779:I779"/>
    <mergeCell ref="C780:I780"/>
    <mergeCell ref="C781:I781"/>
    <mergeCell ref="C782:I782"/>
    <mergeCell ref="C783:I783"/>
    <mergeCell ref="C784:I784"/>
    <mergeCell ref="C803:I803"/>
    <mergeCell ref="C804:I804"/>
    <mergeCell ref="C805:I805"/>
    <mergeCell ref="C806:I806"/>
    <mergeCell ref="C807:I807"/>
    <mergeCell ref="C740:I740"/>
    <mergeCell ref="C741:I741"/>
    <mergeCell ref="C742:I742"/>
    <mergeCell ref="C743:I743"/>
    <mergeCell ref="C744:I744"/>
    <mergeCell ref="C763:I763"/>
    <mergeCell ref="C764:I764"/>
    <mergeCell ref="C765:I765"/>
    <mergeCell ref="C766:I766"/>
    <mergeCell ref="C767:I767"/>
    <mergeCell ref="C768:I768"/>
    <mergeCell ref="C757:I757"/>
    <mergeCell ref="C758:I758"/>
    <mergeCell ref="C759:I759"/>
    <mergeCell ref="C760:I760"/>
    <mergeCell ref="C761:I761"/>
    <mergeCell ref="C762:I762"/>
    <mergeCell ref="C751:I751"/>
    <mergeCell ref="C752:I752"/>
    <mergeCell ref="C753:I753"/>
    <mergeCell ref="C754:I754"/>
    <mergeCell ref="C755:I755"/>
    <mergeCell ref="C756:I756"/>
    <mergeCell ref="C745:I745"/>
    <mergeCell ref="C746:I746"/>
    <mergeCell ref="C747:I747"/>
    <mergeCell ref="C748:I748"/>
    <mergeCell ref="C749:I749"/>
    <mergeCell ref="C750:I750"/>
    <mergeCell ref="C769:I769"/>
    <mergeCell ref="C770:I770"/>
    <mergeCell ref="C771:I771"/>
    <mergeCell ref="C772:I772"/>
    <mergeCell ref="C773:I773"/>
    <mergeCell ref="C706:I706"/>
    <mergeCell ref="C707:I707"/>
    <mergeCell ref="C708:I708"/>
    <mergeCell ref="C709:I709"/>
    <mergeCell ref="C710:I710"/>
    <mergeCell ref="C729:I729"/>
    <mergeCell ref="C730:I730"/>
    <mergeCell ref="C731:I731"/>
    <mergeCell ref="C732:I732"/>
    <mergeCell ref="C733:I733"/>
    <mergeCell ref="C734:I734"/>
    <mergeCell ref="C723:I723"/>
    <mergeCell ref="C724:I724"/>
    <mergeCell ref="C725:I725"/>
    <mergeCell ref="C726:I726"/>
    <mergeCell ref="C727:I727"/>
    <mergeCell ref="C728:I728"/>
    <mergeCell ref="C717:I717"/>
    <mergeCell ref="C718:I718"/>
    <mergeCell ref="C719:I719"/>
    <mergeCell ref="C720:I720"/>
    <mergeCell ref="C721:I721"/>
    <mergeCell ref="C722:I722"/>
    <mergeCell ref="C711:I711"/>
    <mergeCell ref="C712:I712"/>
    <mergeCell ref="C713:I713"/>
    <mergeCell ref="C714:I714"/>
    <mergeCell ref="C715:I715"/>
    <mergeCell ref="C716:I716"/>
    <mergeCell ref="C735:I735"/>
    <mergeCell ref="C736:I736"/>
    <mergeCell ref="C737:I737"/>
    <mergeCell ref="C738:I738"/>
    <mergeCell ref="C739:I739"/>
    <mergeCell ref="C705:I705"/>
    <mergeCell ref="C683:I683"/>
    <mergeCell ref="A684:J684"/>
    <mergeCell ref="A685:J685"/>
    <mergeCell ref="A686:J686"/>
    <mergeCell ref="A687:J687"/>
    <mergeCell ref="A700:B700"/>
    <mergeCell ref="C700:D700"/>
    <mergeCell ref="A701:B701"/>
    <mergeCell ref="C701:D701"/>
    <mergeCell ref="A702:B702"/>
    <mergeCell ref="C702:D702"/>
    <mergeCell ref="A697:B697"/>
    <mergeCell ref="C697:D697"/>
    <mergeCell ref="A698:B698"/>
    <mergeCell ref="C698:D698"/>
    <mergeCell ref="A699:B699"/>
    <mergeCell ref="C699:D699"/>
    <mergeCell ref="A694:B694"/>
    <mergeCell ref="C694:D694"/>
    <mergeCell ref="A695:B695"/>
    <mergeCell ref="C695:D695"/>
    <mergeCell ref="A696:B696"/>
    <mergeCell ref="C696:D696"/>
    <mergeCell ref="A688:J688"/>
    <mergeCell ref="A689:J689"/>
    <mergeCell ref="A690:J690"/>
    <mergeCell ref="A691:J691"/>
    <mergeCell ref="A692:J692"/>
    <mergeCell ref="A693:B693"/>
    <mergeCell ref="C693:D693"/>
    <mergeCell ref="A703:B703"/>
    <mergeCell ref="C703:D703"/>
    <mergeCell ref="A704:B704"/>
    <mergeCell ref="C704:D704"/>
    <mergeCell ref="C682:I682"/>
    <mergeCell ref="C656:I656"/>
    <mergeCell ref="C657:I657"/>
    <mergeCell ref="C658:I658"/>
    <mergeCell ref="C659:I659"/>
    <mergeCell ref="C660:I660"/>
    <mergeCell ref="A674:B674"/>
    <mergeCell ref="C674:D674"/>
    <mergeCell ref="A675:B675"/>
    <mergeCell ref="C675:D675"/>
    <mergeCell ref="C676:I676"/>
    <mergeCell ref="C677:I677"/>
    <mergeCell ref="A671:B671"/>
    <mergeCell ref="C671:D671"/>
    <mergeCell ref="A672:B672"/>
    <mergeCell ref="C672:D672"/>
    <mergeCell ref="A673:B673"/>
    <mergeCell ref="C673:D673"/>
    <mergeCell ref="A667:J667"/>
    <mergeCell ref="A668:B668"/>
    <mergeCell ref="C668:D668"/>
    <mergeCell ref="A669:B669"/>
    <mergeCell ref="C669:D669"/>
    <mergeCell ref="A670:B670"/>
    <mergeCell ref="C670:D670"/>
    <mergeCell ref="C661:I661"/>
    <mergeCell ref="C662:I662"/>
    <mergeCell ref="A663:J663"/>
    <mergeCell ref="A664:J664"/>
    <mergeCell ref="A665:J665"/>
    <mergeCell ref="A666:J666"/>
    <mergeCell ref="C678:I678"/>
    <mergeCell ref="C679:I679"/>
    <mergeCell ref="C680:I680"/>
    <mergeCell ref="C681:I681"/>
    <mergeCell ref="A653:B653"/>
    <mergeCell ref="C653:D653"/>
    <mergeCell ref="A654:B654"/>
    <mergeCell ref="C654:D654"/>
    <mergeCell ref="A655:B655"/>
    <mergeCell ref="C655:D655"/>
    <mergeCell ref="A648:J648"/>
    <mergeCell ref="A649:J649"/>
    <mergeCell ref="A650:J650"/>
    <mergeCell ref="A651:J651"/>
    <mergeCell ref="A652:B652"/>
    <mergeCell ref="C652:D652"/>
    <mergeCell ref="A642:J642"/>
    <mergeCell ref="A643:J643"/>
    <mergeCell ref="A644:J644"/>
    <mergeCell ref="A645:J645"/>
    <mergeCell ref="A646:J646"/>
    <mergeCell ref="A647:J647"/>
    <mergeCell ref="C608:I608"/>
    <mergeCell ref="C609:I609"/>
    <mergeCell ref="C610:I610"/>
    <mergeCell ref="C611:I611"/>
    <mergeCell ref="C612:I612"/>
    <mergeCell ref="C631:I631"/>
    <mergeCell ref="C632:I632"/>
    <mergeCell ref="C633:I633"/>
    <mergeCell ref="C634:I634"/>
    <mergeCell ref="C635:I635"/>
    <mergeCell ref="C636:I636"/>
    <mergeCell ref="C625:I625"/>
    <mergeCell ref="C626:I626"/>
    <mergeCell ref="C627:I627"/>
    <mergeCell ref="C628:I628"/>
    <mergeCell ref="C629:I629"/>
    <mergeCell ref="C630:I630"/>
    <mergeCell ref="C619:I619"/>
    <mergeCell ref="C620:I620"/>
    <mergeCell ref="C621:I621"/>
    <mergeCell ref="C622:I622"/>
    <mergeCell ref="C623:I623"/>
    <mergeCell ref="C624:I624"/>
    <mergeCell ref="C613:I613"/>
    <mergeCell ref="C614:I614"/>
    <mergeCell ref="C615:I615"/>
    <mergeCell ref="C616:I616"/>
    <mergeCell ref="C617:I617"/>
    <mergeCell ref="C618:I618"/>
    <mergeCell ref="C637:I637"/>
    <mergeCell ref="C638:I638"/>
    <mergeCell ref="C639:I639"/>
    <mergeCell ref="A640:J640"/>
    <mergeCell ref="A641:J641"/>
    <mergeCell ref="C574:I574"/>
    <mergeCell ref="C575:I575"/>
    <mergeCell ref="C576:I576"/>
    <mergeCell ref="C577:I577"/>
    <mergeCell ref="C578:I578"/>
    <mergeCell ref="C597:I597"/>
    <mergeCell ref="C598:I598"/>
    <mergeCell ref="C599:I599"/>
    <mergeCell ref="C600:I600"/>
    <mergeCell ref="C601:I601"/>
    <mergeCell ref="C602:I602"/>
    <mergeCell ref="C591:I591"/>
    <mergeCell ref="C592:I592"/>
    <mergeCell ref="C593:I593"/>
    <mergeCell ref="C594:I594"/>
    <mergeCell ref="C595:I595"/>
    <mergeCell ref="C596:I596"/>
    <mergeCell ref="C585:I585"/>
    <mergeCell ref="C586:I586"/>
    <mergeCell ref="C587:I587"/>
    <mergeCell ref="C588:I588"/>
    <mergeCell ref="C589:I589"/>
    <mergeCell ref="C590:I590"/>
    <mergeCell ref="C579:I579"/>
    <mergeCell ref="C580:I580"/>
    <mergeCell ref="C581:I581"/>
    <mergeCell ref="C582:I582"/>
    <mergeCell ref="C583:I583"/>
    <mergeCell ref="C584:I584"/>
    <mergeCell ref="C603:I603"/>
    <mergeCell ref="C604:I604"/>
    <mergeCell ref="C605:I605"/>
    <mergeCell ref="C606:I606"/>
    <mergeCell ref="C607:I607"/>
    <mergeCell ref="C540:I540"/>
    <mergeCell ref="C541:I541"/>
    <mergeCell ref="C542:I542"/>
    <mergeCell ref="C543:I543"/>
    <mergeCell ref="C544:I544"/>
    <mergeCell ref="C563:I563"/>
    <mergeCell ref="C564:I564"/>
    <mergeCell ref="C565:I565"/>
    <mergeCell ref="C566:I566"/>
    <mergeCell ref="C567:I567"/>
    <mergeCell ref="C568:I568"/>
    <mergeCell ref="C557:I557"/>
    <mergeCell ref="C558:I558"/>
    <mergeCell ref="C559:I559"/>
    <mergeCell ref="C560:I560"/>
    <mergeCell ref="C561:I561"/>
    <mergeCell ref="C562:I562"/>
    <mergeCell ref="C551:I551"/>
    <mergeCell ref="C552:I552"/>
    <mergeCell ref="C553:I553"/>
    <mergeCell ref="C554:I554"/>
    <mergeCell ref="C555:I555"/>
    <mergeCell ref="C556:I556"/>
    <mergeCell ref="C545:I545"/>
    <mergeCell ref="C546:I546"/>
    <mergeCell ref="C547:I547"/>
    <mergeCell ref="C548:I548"/>
    <mergeCell ref="C549:I549"/>
    <mergeCell ref="C550:I550"/>
    <mergeCell ref="C569:I569"/>
    <mergeCell ref="C570:I570"/>
    <mergeCell ref="C571:I571"/>
    <mergeCell ref="C572:I572"/>
    <mergeCell ref="C573:I573"/>
    <mergeCell ref="C539:I539"/>
    <mergeCell ref="A516:J516"/>
    <mergeCell ref="A517:J517"/>
    <mergeCell ref="A518:J518"/>
    <mergeCell ref="A519:J519"/>
    <mergeCell ref="A520:J520"/>
    <mergeCell ref="A534:B534"/>
    <mergeCell ref="C534:D534"/>
    <mergeCell ref="A535:B535"/>
    <mergeCell ref="C535:D535"/>
    <mergeCell ref="A536:B536"/>
    <mergeCell ref="C536:D536"/>
    <mergeCell ref="A531:B531"/>
    <mergeCell ref="C531:D531"/>
    <mergeCell ref="A532:B532"/>
    <mergeCell ref="C532:D532"/>
    <mergeCell ref="A533:B533"/>
    <mergeCell ref="C533:D533"/>
    <mergeCell ref="A527:J527"/>
    <mergeCell ref="A528:B528"/>
    <mergeCell ref="C528:D528"/>
    <mergeCell ref="A529:B529"/>
    <mergeCell ref="C529:D529"/>
    <mergeCell ref="A530:B530"/>
    <mergeCell ref="C530:D530"/>
    <mergeCell ref="A521:J521"/>
    <mergeCell ref="A522:J522"/>
    <mergeCell ref="A523:J523"/>
    <mergeCell ref="A524:J524"/>
    <mergeCell ref="A525:J525"/>
    <mergeCell ref="A526:J526"/>
    <mergeCell ref="A537:B537"/>
    <mergeCell ref="C537:D537"/>
    <mergeCell ref="A538:B538"/>
    <mergeCell ref="C538:D538"/>
    <mergeCell ref="C482:I482"/>
    <mergeCell ref="C483:I483"/>
    <mergeCell ref="C484:I484"/>
    <mergeCell ref="C485:I485"/>
    <mergeCell ref="C486:I486"/>
    <mergeCell ref="C505:I505"/>
    <mergeCell ref="C506:I506"/>
    <mergeCell ref="C507:I507"/>
    <mergeCell ref="C508:I508"/>
    <mergeCell ref="C509:I509"/>
    <mergeCell ref="C510:I510"/>
    <mergeCell ref="C499:I499"/>
    <mergeCell ref="C500:I500"/>
    <mergeCell ref="C501:I501"/>
    <mergeCell ref="C502:I502"/>
    <mergeCell ref="C503:I503"/>
    <mergeCell ref="C504:I504"/>
    <mergeCell ref="C493:I493"/>
    <mergeCell ref="C494:I494"/>
    <mergeCell ref="C495:I495"/>
    <mergeCell ref="C496:I496"/>
    <mergeCell ref="C497:I497"/>
    <mergeCell ref="C498:I498"/>
    <mergeCell ref="C487:I487"/>
    <mergeCell ref="C488:I488"/>
    <mergeCell ref="C489:I489"/>
    <mergeCell ref="C490:I490"/>
    <mergeCell ref="C491:I491"/>
    <mergeCell ref="C492:I492"/>
    <mergeCell ref="C511:I511"/>
    <mergeCell ref="C512:I512"/>
    <mergeCell ref="C513:I513"/>
    <mergeCell ref="C514:I514"/>
    <mergeCell ref="C515:I515"/>
    <mergeCell ref="C448:I448"/>
    <mergeCell ref="C449:I449"/>
    <mergeCell ref="C450:I450"/>
    <mergeCell ref="C451:I451"/>
    <mergeCell ref="C452:I452"/>
    <mergeCell ref="C471:I471"/>
    <mergeCell ref="C472:I472"/>
    <mergeCell ref="C473:I473"/>
    <mergeCell ref="C474:I474"/>
    <mergeCell ref="C475:I475"/>
    <mergeCell ref="C476:I476"/>
    <mergeCell ref="C465:I465"/>
    <mergeCell ref="C466:I466"/>
    <mergeCell ref="C467:I467"/>
    <mergeCell ref="C468:I468"/>
    <mergeCell ref="C469:I469"/>
    <mergeCell ref="C470:I470"/>
    <mergeCell ref="C459:I459"/>
    <mergeCell ref="C460:I460"/>
    <mergeCell ref="C461:I461"/>
    <mergeCell ref="C462:I462"/>
    <mergeCell ref="C463:I463"/>
    <mergeCell ref="C464:I464"/>
    <mergeCell ref="C453:I453"/>
    <mergeCell ref="C454:I454"/>
    <mergeCell ref="C455:I455"/>
    <mergeCell ref="C456:I456"/>
    <mergeCell ref="C457:I457"/>
    <mergeCell ref="C458:I458"/>
    <mergeCell ref="C477:I477"/>
    <mergeCell ref="C478:I478"/>
    <mergeCell ref="C479:I479"/>
    <mergeCell ref="C480:I480"/>
    <mergeCell ref="C481:I481"/>
    <mergeCell ref="C447:I447"/>
    <mergeCell ref="B425:E425"/>
    <mergeCell ref="F425:I425"/>
    <mergeCell ref="A426:J426"/>
    <mergeCell ref="A427:J427"/>
    <mergeCell ref="A428:J428"/>
    <mergeCell ref="A441:B441"/>
    <mergeCell ref="C441:D441"/>
    <mergeCell ref="A442:B442"/>
    <mergeCell ref="C442:D442"/>
    <mergeCell ref="A443:B443"/>
    <mergeCell ref="C443:D443"/>
    <mergeCell ref="A438:B438"/>
    <mergeCell ref="C438:D438"/>
    <mergeCell ref="A439:B439"/>
    <mergeCell ref="C439:D439"/>
    <mergeCell ref="A440:B440"/>
    <mergeCell ref="C440:D440"/>
    <mergeCell ref="A435:B435"/>
    <mergeCell ref="C435:D435"/>
    <mergeCell ref="A436:B436"/>
    <mergeCell ref="C436:D436"/>
    <mergeCell ref="A437:B437"/>
    <mergeCell ref="C437:D437"/>
    <mergeCell ref="A429:J429"/>
    <mergeCell ref="A430:J430"/>
    <mergeCell ref="A431:J431"/>
    <mergeCell ref="A432:J432"/>
    <mergeCell ref="A433:J433"/>
    <mergeCell ref="A434:B434"/>
    <mergeCell ref="C434:D434"/>
    <mergeCell ref="A444:B444"/>
    <mergeCell ref="C444:D444"/>
    <mergeCell ref="C445:I445"/>
    <mergeCell ref="C446:I446"/>
    <mergeCell ref="B422:E422"/>
    <mergeCell ref="F422:I422"/>
    <mergeCell ref="B423:E423"/>
    <mergeCell ref="F423:I423"/>
    <mergeCell ref="B424:E424"/>
    <mergeCell ref="F424:I424"/>
    <mergeCell ref="B419:E419"/>
    <mergeCell ref="F419:I419"/>
    <mergeCell ref="B420:E420"/>
    <mergeCell ref="F420:I420"/>
    <mergeCell ref="B421:E421"/>
    <mergeCell ref="F421:I421"/>
    <mergeCell ref="B416:E416"/>
    <mergeCell ref="F416:I416"/>
    <mergeCell ref="B417:E417"/>
    <mergeCell ref="F417:I417"/>
    <mergeCell ref="B418:E418"/>
    <mergeCell ref="F418:I418"/>
    <mergeCell ref="B413:E413"/>
    <mergeCell ref="F413:I413"/>
    <mergeCell ref="B414:E414"/>
    <mergeCell ref="F414:I414"/>
    <mergeCell ref="B415:E415"/>
    <mergeCell ref="F415:I415"/>
    <mergeCell ref="B410:E410"/>
    <mergeCell ref="F410:I410"/>
    <mergeCell ref="B411:E411"/>
    <mergeCell ref="F411:I411"/>
    <mergeCell ref="B412:E412"/>
    <mergeCell ref="F412:I412"/>
    <mergeCell ref="B407:E407"/>
    <mergeCell ref="F407:I407"/>
    <mergeCell ref="B408:E408"/>
    <mergeCell ref="F408:I408"/>
    <mergeCell ref="B409:E409"/>
    <mergeCell ref="F409:I409"/>
    <mergeCell ref="B404:E404"/>
    <mergeCell ref="F404:I404"/>
    <mergeCell ref="B405:E405"/>
    <mergeCell ref="F405:I405"/>
    <mergeCell ref="B406:E406"/>
    <mergeCell ref="F406:I406"/>
    <mergeCell ref="B401:E401"/>
    <mergeCell ref="F401:I401"/>
    <mergeCell ref="B402:E402"/>
    <mergeCell ref="F402:I402"/>
    <mergeCell ref="B403:E403"/>
    <mergeCell ref="F403:I403"/>
    <mergeCell ref="B398:E398"/>
    <mergeCell ref="F398:I398"/>
    <mergeCell ref="B399:E399"/>
    <mergeCell ref="F399:I399"/>
    <mergeCell ref="B400:E400"/>
    <mergeCell ref="F400:I400"/>
    <mergeCell ref="B395:E395"/>
    <mergeCell ref="F395:I395"/>
    <mergeCell ref="B396:E396"/>
    <mergeCell ref="F396:I396"/>
    <mergeCell ref="B397:E397"/>
    <mergeCell ref="F397:I397"/>
    <mergeCell ref="B392:E392"/>
    <mergeCell ref="F392:I392"/>
    <mergeCell ref="B393:E393"/>
    <mergeCell ref="F393:I393"/>
    <mergeCell ref="B394:E394"/>
    <mergeCell ref="F394:I394"/>
    <mergeCell ref="B389:E389"/>
    <mergeCell ref="F389:I389"/>
    <mergeCell ref="B390:E390"/>
    <mergeCell ref="F390:I390"/>
    <mergeCell ref="B391:E391"/>
    <mergeCell ref="F391:I391"/>
    <mergeCell ref="B386:E386"/>
    <mergeCell ref="F386:I386"/>
    <mergeCell ref="B387:E387"/>
    <mergeCell ref="F387:I387"/>
    <mergeCell ref="B388:E388"/>
    <mergeCell ref="F388:I388"/>
    <mergeCell ref="B383:E383"/>
    <mergeCell ref="F383:I383"/>
    <mergeCell ref="B384:E384"/>
    <mergeCell ref="F384:I384"/>
    <mergeCell ref="B385:E385"/>
    <mergeCell ref="F385:I385"/>
    <mergeCell ref="B380:E380"/>
    <mergeCell ref="F380:I380"/>
    <mergeCell ref="B381:E381"/>
    <mergeCell ref="F381:I381"/>
    <mergeCell ref="B382:E382"/>
    <mergeCell ref="F382:I382"/>
    <mergeCell ref="B377:E377"/>
    <mergeCell ref="F377:I377"/>
    <mergeCell ref="B378:E378"/>
    <mergeCell ref="F378:I378"/>
    <mergeCell ref="B379:E379"/>
    <mergeCell ref="F379:I379"/>
    <mergeCell ref="B374:E374"/>
    <mergeCell ref="F374:I374"/>
    <mergeCell ref="B375:E375"/>
    <mergeCell ref="F375:I375"/>
    <mergeCell ref="B376:E376"/>
    <mergeCell ref="F376:I376"/>
    <mergeCell ref="B371:E371"/>
    <mergeCell ref="F371:I371"/>
    <mergeCell ref="B372:E372"/>
    <mergeCell ref="F372:I372"/>
    <mergeCell ref="B373:E373"/>
    <mergeCell ref="F373:I373"/>
    <mergeCell ref="B368:E368"/>
    <mergeCell ref="F368:I368"/>
    <mergeCell ref="B369:E369"/>
    <mergeCell ref="F369:I369"/>
    <mergeCell ref="B370:E370"/>
    <mergeCell ref="F370:I370"/>
    <mergeCell ref="B365:C365"/>
    <mergeCell ref="D365:I365"/>
    <mergeCell ref="B366:C366"/>
    <mergeCell ref="D366:I366"/>
    <mergeCell ref="B367:E367"/>
    <mergeCell ref="F367:I367"/>
    <mergeCell ref="B362:C362"/>
    <mergeCell ref="D362:I362"/>
    <mergeCell ref="B363:C363"/>
    <mergeCell ref="D363:I363"/>
    <mergeCell ref="B364:C364"/>
    <mergeCell ref="D364:I364"/>
    <mergeCell ref="B359:C359"/>
    <mergeCell ref="D359:I359"/>
    <mergeCell ref="B360:C360"/>
    <mergeCell ref="D360:I360"/>
    <mergeCell ref="B361:C361"/>
    <mergeCell ref="D361:I361"/>
    <mergeCell ref="B356:C356"/>
    <mergeCell ref="D356:I356"/>
    <mergeCell ref="B357:C357"/>
    <mergeCell ref="D357:I357"/>
    <mergeCell ref="B358:C358"/>
    <mergeCell ref="D358:I358"/>
    <mergeCell ref="B353:C353"/>
    <mergeCell ref="D353:I353"/>
    <mergeCell ref="B354:C354"/>
    <mergeCell ref="D354:I354"/>
    <mergeCell ref="B355:C355"/>
    <mergeCell ref="D355:I355"/>
    <mergeCell ref="B350:C350"/>
    <mergeCell ref="D350:I350"/>
    <mergeCell ref="B351:C351"/>
    <mergeCell ref="D351:I351"/>
    <mergeCell ref="B352:C352"/>
    <mergeCell ref="D352:I352"/>
    <mergeCell ref="B347:C347"/>
    <mergeCell ref="D347:I347"/>
    <mergeCell ref="B348:C348"/>
    <mergeCell ref="D348:I348"/>
    <mergeCell ref="B349:C349"/>
    <mergeCell ref="D349:I349"/>
    <mergeCell ref="B344:C344"/>
    <mergeCell ref="D344:I344"/>
    <mergeCell ref="B345:C345"/>
    <mergeCell ref="D345:I345"/>
    <mergeCell ref="B346:C346"/>
    <mergeCell ref="D346:I346"/>
    <mergeCell ref="B341:C341"/>
    <mergeCell ref="D341:I341"/>
    <mergeCell ref="B342:C342"/>
    <mergeCell ref="D342:I342"/>
    <mergeCell ref="B343:C343"/>
    <mergeCell ref="D343:I343"/>
    <mergeCell ref="B338:C338"/>
    <mergeCell ref="D338:I338"/>
    <mergeCell ref="B339:C339"/>
    <mergeCell ref="D339:I339"/>
    <mergeCell ref="B340:C340"/>
    <mergeCell ref="D340:I340"/>
    <mergeCell ref="B335:C335"/>
    <mergeCell ref="D335:I335"/>
    <mergeCell ref="B336:C336"/>
    <mergeCell ref="D336:I336"/>
    <mergeCell ref="B337:C337"/>
    <mergeCell ref="D337:I337"/>
    <mergeCell ref="B332:C332"/>
    <mergeCell ref="D332:I332"/>
    <mergeCell ref="B333:C333"/>
    <mergeCell ref="D333:I333"/>
    <mergeCell ref="B334:C334"/>
    <mergeCell ref="D334:I334"/>
    <mergeCell ref="B329:C329"/>
    <mergeCell ref="D329:I329"/>
    <mergeCell ref="B330:C330"/>
    <mergeCell ref="D330:I330"/>
    <mergeCell ref="B331:C331"/>
    <mergeCell ref="D331:I331"/>
    <mergeCell ref="B326:C326"/>
    <mergeCell ref="D326:I326"/>
    <mergeCell ref="B327:C327"/>
    <mergeCell ref="D327:I327"/>
    <mergeCell ref="B328:C328"/>
    <mergeCell ref="D328:I328"/>
    <mergeCell ref="C293:I293"/>
    <mergeCell ref="C294:I294"/>
    <mergeCell ref="C295:I295"/>
    <mergeCell ref="C296:I296"/>
    <mergeCell ref="C297:I297"/>
    <mergeCell ref="A316:C316"/>
    <mergeCell ref="A317:C317"/>
    <mergeCell ref="A318:C318"/>
    <mergeCell ref="A319:C319"/>
    <mergeCell ref="A320:C320"/>
    <mergeCell ref="A321:C321"/>
    <mergeCell ref="A310:J310"/>
    <mergeCell ref="A311:J311"/>
    <mergeCell ref="A312:J312"/>
    <mergeCell ref="A313:J313"/>
    <mergeCell ref="A314:C314"/>
    <mergeCell ref="A315:C315"/>
    <mergeCell ref="C304:I304"/>
    <mergeCell ref="C305:I305"/>
    <mergeCell ref="C306:I306"/>
    <mergeCell ref="A307:J307"/>
    <mergeCell ref="A308:J308"/>
    <mergeCell ref="A309:J309"/>
    <mergeCell ref="C298:I298"/>
    <mergeCell ref="C299:I299"/>
    <mergeCell ref="C300:I300"/>
    <mergeCell ref="C301:I301"/>
    <mergeCell ref="C302:I302"/>
    <mergeCell ref="C303:I303"/>
    <mergeCell ref="A322:C322"/>
    <mergeCell ref="A323:C323"/>
    <mergeCell ref="A324:C324"/>
    <mergeCell ref="B325:C325"/>
    <mergeCell ref="D325:I325"/>
    <mergeCell ref="C259:I259"/>
    <mergeCell ref="C260:I260"/>
    <mergeCell ref="C261:I261"/>
    <mergeCell ref="C262:I262"/>
    <mergeCell ref="C263:I263"/>
    <mergeCell ref="C282:I282"/>
    <mergeCell ref="C283:I283"/>
    <mergeCell ref="C284:I284"/>
    <mergeCell ref="C285:I285"/>
    <mergeCell ref="C286:I286"/>
    <mergeCell ref="C287:I287"/>
    <mergeCell ref="C276:I276"/>
    <mergeCell ref="C277:I277"/>
    <mergeCell ref="C278:I278"/>
    <mergeCell ref="C279:I279"/>
    <mergeCell ref="C280:I280"/>
    <mergeCell ref="C281:I281"/>
    <mergeCell ref="C270:I270"/>
    <mergeCell ref="C271:I271"/>
    <mergeCell ref="C272:I272"/>
    <mergeCell ref="C273:I273"/>
    <mergeCell ref="C274:I274"/>
    <mergeCell ref="C275:I275"/>
    <mergeCell ref="C264:I264"/>
    <mergeCell ref="C265:I265"/>
    <mergeCell ref="C266:I266"/>
    <mergeCell ref="C267:I267"/>
    <mergeCell ref="C268:I268"/>
    <mergeCell ref="C269:I269"/>
    <mergeCell ref="C288:I288"/>
    <mergeCell ref="C289:I289"/>
    <mergeCell ref="C290:I290"/>
    <mergeCell ref="C291:I291"/>
    <mergeCell ref="C292:I292"/>
    <mergeCell ref="C225:I225"/>
    <mergeCell ref="C226:I226"/>
    <mergeCell ref="C227:I227"/>
    <mergeCell ref="C228:I228"/>
    <mergeCell ref="C229:I229"/>
    <mergeCell ref="C248:I248"/>
    <mergeCell ref="C249:I249"/>
    <mergeCell ref="C250:I250"/>
    <mergeCell ref="C251:I251"/>
    <mergeCell ref="C252:I252"/>
    <mergeCell ref="C253:I253"/>
    <mergeCell ref="C242:I242"/>
    <mergeCell ref="C243:I243"/>
    <mergeCell ref="C244:I244"/>
    <mergeCell ref="C245:I245"/>
    <mergeCell ref="C246:I246"/>
    <mergeCell ref="C247:I247"/>
    <mergeCell ref="C236:I236"/>
    <mergeCell ref="C237:I237"/>
    <mergeCell ref="C238:I238"/>
    <mergeCell ref="C239:I239"/>
    <mergeCell ref="C240:I240"/>
    <mergeCell ref="C241:I241"/>
    <mergeCell ref="C230:I230"/>
    <mergeCell ref="C231:I231"/>
    <mergeCell ref="C232:I232"/>
    <mergeCell ref="C233:I233"/>
    <mergeCell ref="C234:I234"/>
    <mergeCell ref="C235:I235"/>
    <mergeCell ref="C254:I254"/>
    <mergeCell ref="C255:I255"/>
    <mergeCell ref="C256:I256"/>
    <mergeCell ref="C257:I257"/>
    <mergeCell ref="C258:I258"/>
    <mergeCell ref="C224:I224"/>
    <mergeCell ref="A199:B199"/>
    <mergeCell ref="C199:D199"/>
    <mergeCell ref="A200:B200"/>
    <mergeCell ref="C200:D200"/>
    <mergeCell ref="A201:B201"/>
    <mergeCell ref="C214:I214"/>
    <mergeCell ref="C215:I215"/>
    <mergeCell ref="C216:I216"/>
    <mergeCell ref="C217:I217"/>
    <mergeCell ref="C218:I218"/>
    <mergeCell ref="C219:I219"/>
    <mergeCell ref="C208:I208"/>
    <mergeCell ref="C209:I209"/>
    <mergeCell ref="C210:I210"/>
    <mergeCell ref="C211:I211"/>
    <mergeCell ref="C212:I212"/>
    <mergeCell ref="C213:I213"/>
    <mergeCell ref="C207:I207"/>
    <mergeCell ref="C185:I185"/>
    <mergeCell ref="C186:I186"/>
    <mergeCell ref="C187:I187"/>
    <mergeCell ref="C188:I188"/>
    <mergeCell ref="C189:I189"/>
    <mergeCell ref="C201:D201"/>
    <mergeCell ref="A202:B202"/>
    <mergeCell ref="C202:D202"/>
    <mergeCell ref="A203:B203"/>
    <mergeCell ref="C203:D203"/>
    <mergeCell ref="A204:B204"/>
    <mergeCell ref="C204:D204"/>
    <mergeCell ref="C220:I220"/>
    <mergeCell ref="C221:I221"/>
    <mergeCell ref="C222:I222"/>
    <mergeCell ref="C223:I223"/>
    <mergeCell ref="A196:B196"/>
    <mergeCell ref="C196:D196"/>
    <mergeCell ref="A197:B197"/>
    <mergeCell ref="C197:D197"/>
    <mergeCell ref="A198:B198"/>
    <mergeCell ref="C198:D198"/>
    <mergeCell ref="A190:J190"/>
    <mergeCell ref="A191:J191"/>
    <mergeCell ref="A192:J192"/>
    <mergeCell ref="A193:J193"/>
    <mergeCell ref="A194:J194"/>
    <mergeCell ref="A195:B195"/>
    <mergeCell ref="C195:D195"/>
    <mergeCell ref="A205:B205"/>
    <mergeCell ref="C205:D205"/>
    <mergeCell ref="A206:B206"/>
    <mergeCell ref="C206:D206"/>
    <mergeCell ref="C151:I151"/>
    <mergeCell ref="C152:I152"/>
    <mergeCell ref="C153:I153"/>
    <mergeCell ref="C154:I154"/>
    <mergeCell ref="C155:I155"/>
    <mergeCell ref="C174:I174"/>
    <mergeCell ref="C175:I175"/>
    <mergeCell ref="C176:I176"/>
    <mergeCell ref="C177:I177"/>
    <mergeCell ref="C178:I178"/>
    <mergeCell ref="C179:I179"/>
    <mergeCell ref="C168:I168"/>
    <mergeCell ref="C169:I169"/>
    <mergeCell ref="C170:I170"/>
    <mergeCell ref="C171:I171"/>
    <mergeCell ref="C172:I172"/>
    <mergeCell ref="C173:I173"/>
    <mergeCell ref="C162:I162"/>
    <mergeCell ref="C163:I163"/>
    <mergeCell ref="C164:I164"/>
    <mergeCell ref="C165:I165"/>
    <mergeCell ref="C166:I166"/>
    <mergeCell ref="C167:I167"/>
    <mergeCell ref="C156:I156"/>
    <mergeCell ref="C157:I157"/>
    <mergeCell ref="C158:I158"/>
    <mergeCell ref="C159:I159"/>
    <mergeCell ref="C160:I160"/>
    <mergeCell ref="C161:I161"/>
    <mergeCell ref="C180:I180"/>
    <mergeCell ref="C181:I181"/>
    <mergeCell ref="C182:I182"/>
    <mergeCell ref="C183:I183"/>
    <mergeCell ref="C184:I184"/>
    <mergeCell ref="C149:I149"/>
    <mergeCell ref="C150:I150"/>
    <mergeCell ref="C117:I117"/>
    <mergeCell ref="C118:I118"/>
    <mergeCell ref="C119:I119"/>
    <mergeCell ref="C120:I120"/>
    <mergeCell ref="C121:I121"/>
    <mergeCell ref="C140:I140"/>
    <mergeCell ref="C141:I141"/>
    <mergeCell ref="C142:I142"/>
    <mergeCell ref="C143:I143"/>
    <mergeCell ref="C144:I144"/>
    <mergeCell ref="C145:I145"/>
    <mergeCell ref="C134:I134"/>
    <mergeCell ref="C135:I135"/>
    <mergeCell ref="C136:I136"/>
    <mergeCell ref="C137:I137"/>
    <mergeCell ref="C138:I138"/>
    <mergeCell ref="C139:I139"/>
    <mergeCell ref="C104:I104"/>
    <mergeCell ref="C105:I105"/>
    <mergeCell ref="C128:I128"/>
    <mergeCell ref="C129:I129"/>
    <mergeCell ref="C130:I130"/>
    <mergeCell ref="C131:I131"/>
    <mergeCell ref="C132:I132"/>
    <mergeCell ref="C133:I133"/>
    <mergeCell ref="C122:I122"/>
    <mergeCell ref="C123:I123"/>
    <mergeCell ref="C124:I124"/>
    <mergeCell ref="C125:I125"/>
    <mergeCell ref="C126:I126"/>
    <mergeCell ref="C127:I127"/>
    <mergeCell ref="C146:I146"/>
    <mergeCell ref="C147:I147"/>
    <mergeCell ref="C148:I148"/>
    <mergeCell ref="A77:J77"/>
    <mergeCell ref="A78:J78"/>
    <mergeCell ref="A79:J79"/>
    <mergeCell ref="A80:J80"/>
    <mergeCell ref="A81:J81"/>
    <mergeCell ref="C93:D93"/>
    <mergeCell ref="A94:B94"/>
    <mergeCell ref="C94:D94"/>
    <mergeCell ref="A95:B95"/>
    <mergeCell ref="C95:D95"/>
    <mergeCell ref="A96:B96"/>
    <mergeCell ref="C96:D96"/>
    <mergeCell ref="C112:I112"/>
    <mergeCell ref="C113:I113"/>
    <mergeCell ref="C114:I114"/>
    <mergeCell ref="C115:I115"/>
    <mergeCell ref="C116:I116"/>
    <mergeCell ref="A91:B91"/>
    <mergeCell ref="C91:D91"/>
    <mergeCell ref="A92:B92"/>
    <mergeCell ref="C92:D92"/>
    <mergeCell ref="A93:B93"/>
    <mergeCell ref="C106:I106"/>
    <mergeCell ref="C107:I107"/>
    <mergeCell ref="C108:I108"/>
    <mergeCell ref="C109:I109"/>
    <mergeCell ref="C110:I110"/>
    <mergeCell ref="C111:I111"/>
    <mergeCell ref="C100:I100"/>
    <mergeCell ref="C101:I101"/>
    <mergeCell ref="C102:I102"/>
    <mergeCell ref="C103:I103"/>
    <mergeCell ref="A88:B88"/>
    <mergeCell ref="C88:D88"/>
    <mergeCell ref="A89:B89"/>
    <mergeCell ref="C89:D89"/>
    <mergeCell ref="A90:B90"/>
    <mergeCell ref="C90:D90"/>
    <mergeCell ref="A82:J82"/>
    <mergeCell ref="A83:J83"/>
    <mergeCell ref="A84:J84"/>
    <mergeCell ref="A85:J85"/>
    <mergeCell ref="A86:J86"/>
    <mergeCell ref="A87:J87"/>
    <mergeCell ref="A97:B97"/>
    <mergeCell ref="C97:D97"/>
    <mergeCell ref="A98:B98"/>
    <mergeCell ref="C98:D98"/>
    <mergeCell ref="C99:I99"/>
    <mergeCell ref="C43:I43"/>
    <mergeCell ref="C44:I44"/>
    <mergeCell ref="C45:I45"/>
    <mergeCell ref="C46:I46"/>
    <mergeCell ref="C47:I47"/>
    <mergeCell ref="C66:I66"/>
    <mergeCell ref="C67:I67"/>
    <mergeCell ref="C68:I68"/>
    <mergeCell ref="C69:I69"/>
    <mergeCell ref="C70:I70"/>
    <mergeCell ref="C71:I71"/>
    <mergeCell ref="C60:I60"/>
    <mergeCell ref="C61:I61"/>
    <mergeCell ref="C62:I62"/>
    <mergeCell ref="C63:I63"/>
    <mergeCell ref="C64:I64"/>
    <mergeCell ref="C65:I65"/>
    <mergeCell ref="C54:I54"/>
    <mergeCell ref="C55:I55"/>
    <mergeCell ref="C56:I56"/>
    <mergeCell ref="C57:I57"/>
    <mergeCell ref="C58:I58"/>
    <mergeCell ref="C59:I59"/>
    <mergeCell ref="C48:I48"/>
    <mergeCell ref="C49:I49"/>
    <mergeCell ref="C50:I50"/>
    <mergeCell ref="C51:I51"/>
    <mergeCell ref="C52:I52"/>
    <mergeCell ref="C53:I53"/>
    <mergeCell ref="C72:I72"/>
    <mergeCell ref="C73:I73"/>
    <mergeCell ref="C74:I74"/>
    <mergeCell ref="C75:I75"/>
    <mergeCell ref="C76:I76"/>
    <mergeCell ref="A11:B11"/>
    <mergeCell ref="C11:D11"/>
    <mergeCell ref="A12:B12"/>
    <mergeCell ref="C12:D12"/>
    <mergeCell ref="C13:I13"/>
    <mergeCell ref="C32:I32"/>
    <mergeCell ref="C33:I33"/>
    <mergeCell ref="C34:I34"/>
    <mergeCell ref="C35:I35"/>
    <mergeCell ref="C36:I36"/>
    <mergeCell ref="C37:I37"/>
    <mergeCell ref="C26:I26"/>
    <mergeCell ref="C27:I27"/>
    <mergeCell ref="C28:I28"/>
    <mergeCell ref="C29:I29"/>
    <mergeCell ref="C30:I30"/>
    <mergeCell ref="C31:I31"/>
    <mergeCell ref="C20:I20"/>
    <mergeCell ref="C21:I21"/>
    <mergeCell ref="C22:I22"/>
    <mergeCell ref="C23:I23"/>
    <mergeCell ref="C24:I24"/>
    <mergeCell ref="C25:I25"/>
    <mergeCell ref="C14:I14"/>
    <mergeCell ref="C15:I15"/>
    <mergeCell ref="C16:I16"/>
    <mergeCell ref="C17:I17"/>
    <mergeCell ref="C18:I18"/>
    <mergeCell ref="C19:I19"/>
    <mergeCell ref="C38:I38"/>
    <mergeCell ref="C39:I39"/>
    <mergeCell ref="C40:I40"/>
    <mergeCell ref="C41:I41"/>
    <mergeCell ref="C42:I42"/>
    <mergeCell ref="A1:J1"/>
    <mergeCell ref="A9:B9"/>
    <mergeCell ref="C9:D9"/>
    <mergeCell ref="A10:B10"/>
    <mergeCell ref="C10:D10"/>
    <mergeCell ref="A6:B6"/>
    <mergeCell ref="C6:D6"/>
    <mergeCell ref="A7:B7"/>
    <mergeCell ref="C7:D7"/>
    <mergeCell ref="A8:B8"/>
    <mergeCell ref="C8:D8"/>
    <mergeCell ref="A2:J2"/>
    <mergeCell ref="A3:B3"/>
    <mergeCell ref="C3:D3"/>
    <mergeCell ref="A4:B4"/>
    <mergeCell ref="C4:D4"/>
    <mergeCell ref="A5:B5"/>
    <mergeCell ref="C5:D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7BB14-3ECB-4117-A48D-00058F2272FC}">
  <dimension ref="A2:H190"/>
  <sheetViews>
    <sheetView topLeftCell="A18" workbookViewId="0">
      <selection activeCell="E1" sqref="A1:E1"/>
    </sheetView>
  </sheetViews>
  <sheetFormatPr defaultRowHeight="14.25"/>
  <cols>
    <col min="1" max="1" width="6.1328125" style="12" bestFit="1" customWidth="1"/>
    <col min="2" max="2" width="7.59765625" style="12" bestFit="1" customWidth="1"/>
    <col min="3" max="3" width="12.59765625" style="12" bestFit="1" customWidth="1"/>
    <col min="4" max="4" width="16" style="12" bestFit="1" customWidth="1"/>
    <col min="5" max="5" width="17.3984375" style="12" bestFit="1" customWidth="1"/>
    <col min="6" max="8" width="7.06640625" style="12" bestFit="1" customWidth="1"/>
    <col min="9" max="16384" width="9.06640625" style="12"/>
  </cols>
  <sheetData>
    <row r="2" spans="1:8" ht="42.75" customHeight="1">
      <c r="A2" s="91" t="s">
        <v>171</v>
      </c>
      <c r="B2" s="91"/>
      <c r="C2" s="91"/>
      <c r="D2" s="91"/>
      <c r="E2" s="91"/>
      <c r="F2" s="91"/>
      <c r="G2" s="91"/>
      <c r="H2" s="91"/>
    </row>
    <row r="3" spans="1:8" ht="28.5" customHeight="1">
      <c r="A3" s="91" t="s">
        <v>172</v>
      </c>
      <c r="B3" s="91"/>
      <c r="C3" s="91"/>
      <c r="D3" s="91"/>
      <c r="E3" s="91"/>
      <c r="F3" s="91"/>
      <c r="G3" s="91"/>
      <c r="H3" s="91"/>
    </row>
    <row r="4" spans="1:8" ht="42.75" customHeight="1">
      <c r="A4" s="91" t="s">
        <v>173</v>
      </c>
      <c r="B4" s="91"/>
      <c r="C4" s="91"/>
      <c r="D4" s="91"/>
      <c r="E4" s="91"/>
      <c r="F4" s="91"/>
      <c r="G4" s="91"/>
      <c r="H4" s="91"/>
    </row>
    <row r="6" spans="1:8">
      <c r="A6" s="92" t="s">
        <v>174</v>
      </c>
      <c r="B6" s="92"/>
      <c r="C6" s="92"/>
      <c r="D6" s="92"/>
      <c r="E6" s="92"/>
      <c r="F6" s="93" t="s">
        <v>175</v>
      </c>
      <c r="G6" s="93"/>
      <c r="H6" s="93"/>
    </row>
    <row r="7" spans="1:8" ht="28.9" thickBot="1">
      <c r="A7" s="13" t="s">
        <v>176</v>
      </c>
      <c r="B7" s="13" t="s">
        <v>177</v>
      </c>
      <c r="C7" s="13" t="s">
        <v>178</v>
      </c>
      <c r="D7" s="13" t="s">
        <v>179</v>
      </c>
      <c r="E7" s="13" t="s">
        <v>180</v>
      </c>
      <c r="F7" s="13" t="s">
        <v>181</v>
      </c>
      <c r="G7" s="13" t="s">
        <v>182</v>
      </c>
      <c r="H7" s="13" t="s">
        <v>183</v>
      </c>
    </row>
    <row r="8" spans="1:8">
      <c r="A8" s="14">
        <v>45188</v>
      </c>
      <c r="B8" s="15">
        <v>0</v>
      </c>
      <c r="C8" s="16">
        <v>0</v>
      </c>
      <c r="D8" s="15">
        <v>0</v>
      </c>
      <c r="E8" s="16">
        <v>0</v>
      </c>
      <c r="F8" s="16">
        <v>0</v>
      </c>
      <c r="G8" s="16">
        <v>0</v>
      </c>
      <c r="H8" s="16">
        <v>0</v>
      </c>
    </row>
    <row r="9" spans="1:8">
      <c r="A9" s="17">
        <v>45189</v>
      </c>
      <c r="B9" s="18">
        <v>22</v>
      </c>
      <c r="C9" s="19">
        <v>1E-4</v>
      </c>
      <c r="D9" s="18">
        <v>22</v>
      </c>
      <c r="E9" s="19">
        <v>1E-4</v>
      </c>
      <c r="F9" s="19">
        <v>1E-4</v>
      </c>
      <c r="G9" s="19">
        <v>0</v>
      </c>
      <c r="H9" s="19">
        <v>8.0000000000000004E-4</v>
      </c>
    </row>
    <row r="10" spans="1:8">
      <c r="A10" s="14">
        <v>45190</v>
      </c>
      <c r="B10" s="20">
        <v>1557</v>
      </c>
      <c r="C10" s="16">
        <v>9.7000000000000003E-3</v>
      </c>
      <c r="D10" s="20">
        <v>1579</v>
      </c>
      <c r="E10" s="16">
        <v>9.7999999999999997E-3</v>
      </c>
      <c r="F10" s="16">
        <v>1.26E-2</v>
      </c>
      <c r="G10" s="16">
        <v>2.3400000000000001E-2</v>
      </c>
      <c r="H10" s="16">
        <v>3.32E-2</v>
      </c>
    </row>
    <row r="11" spans="1:8">
      <c r="A11" s="17">
        <v>45191</v>
      </c>
      <c r="B11" s="21">
        <v>1482</v>
      </c>
      <c r="C11" s="19">
        <v>9.1999999999999998E-3</v>
      </c>
      <c r="D11" s="21">
        <v>3061</v>
      </c>
      <c r="E11" s="19">
        <v>1.9099999999999999E-2</v>
      </c>
      <c r="F11" s="19">
        <v>2.3099999999999999E-2</v>
      </c>
      <c r="G11" s="19">
        <v>3.9800000000000002E-2</v>
      </c>
      <c r="H11" s="19">
        <v>5.8099999999999999E-2</v>
      </c>
    </row>
    <row r="12" spans="1:8">
      <c r="A12" s="14">
        <v>45192</v>
      </c>
      <c r="B12" s="20">
        <v>1487</v>
      </c>
      <c r="C12" s="16">
        <v>9.2999999999999992E-3</v>
      </c>
      <c r="D12" s="20">
        <v>4548</v>
      </c>
      <c r="E12" s="16">
        <v>2.8299999999999999E-2</v>
      </c>
      <c r="F12" s="16">
        <v>3.5000000000000003E-2</v>
      </c>
      <c r="G12" s="16">
        <v>5.9299999999999999E-2</v>
      </c>
      <c r="H12" s="16">
        <v>7.3499999999999996E-2</v>
      </c>
    </row>
    <row r="13" spans="1:8">
      <c r="A13" s="17">
        <v>45193</v>
      </c>
      <c r="B13" s="18">
        <v>0</v>
      </c>
      <c r="C13" s="19">
        <v>0</v>
      </c>
      <c r="D13" s="21">
        <v>4548</v>
      </c>
      <c r="E13" s="19">
        <v>2.8299999999999999E-2</v>
      </c>
      <c r="F13" s="19">
        <v>3.5000000000000003E-2</v>
      </c>
      <c r="G13" s="19">
        <v>5.9299999999999999E-2</v>
      </c>
      <c r="H13" s="19">
        <v>9.0399999999999994E-2</v>
      </c>
    </row>
    <row r="14" spans="1:8">
      <c r="A14" s="14">
        <v>45194</v>
      </c>
      <c r="B14" s="15">
        <v>0</v>
      </c>
      <c r="C14" s="16">
        <v>0</v>
      </c>
      <c r="D14" s="20">
        <v>4548</v>
      </c>
      <c r="E14" s="16">
        <v>2.8299999999999999E-2</v>
      </c>
      <c r="F14" s="16">
        <v>3.5000000000000003E-2</v>
      </c>
      <c r="G14" s="16">
        <v>5.9299999999999999E-2</v>
      </c>
      <c r="H14" s="16">
        <v>9.0399999999999994E-2</v>
      </c>
    </row>
    <row r="15" spans="1:8">
      <c r="A15" s="17">
        <v>45195</v>
      </c>
      <c r="B15" s="18">
        <v>0</v>
      </c>
      <c r="C15" s="19">
        <v>0</v>
      </c>
      <c r="D15" s="21">
        <v>4548</v>
      </c>
      <c r="E15" s="19">
        <v>2.8299999999999999E-2</v>
      </c>
      <c r="F15" s="19">
        <v>4.4900000000000002E-2</v>
      </c>
      <c r="G15" s="19">
        <v>7.6899999999999996E-2</v>
      </c>
      <c r="H15" s="19">
        <v>0.1041</v>
      </c>
    </row>
    <row r="16" spans="1:8">
      <c r="A16" s="14">
        <v>45196</v>
      </c>
      <c r="B16" s="20">
        <v>3384</v>
      </c>
      <c r="C16" s="16">
        <v>2.1100000000000001E-2</v>
      </c>
      <c r="D16" s="20">
        <v>7932</v>
      </c>
      <c r="E16" s="16">
        <v>4.9399999999999999E-2</v>
      </c>
      <c r="F16" s="16">
        <v>5.74E-2</v>
      </c>
      <c r="G16" s="16">
        <v>9.4E-2</v>
      </c>
      <c r="H16" s="16">
        <v>0.13519999999999999</v>
      </c>
    </row>
    <row r="17" spans="1:8">
      <c r="A17" s="17">
        <v>45197</v>
      </c>
      <c r="B17" s="21">
        <v>3306</v>
      </c>
      <c r="C17" s="19">
        <v>2.06E-2</v>
      </c>
      <c r="D17" s="21">
        <v>11238</v>
      </c>
      <c r="E17" s="19">
        <v>7.0000000000000007E-2</v>
      </c>
      <c r="F17" s="19">
        <v>8.2100000000000006E-2</v>
      </c>
      <c r="G17" s="19">
        <v>0.13669999999999999</v>
      </c>
      <c r="H17" s="19">
        <v>0.1547</v>
      </c>
    </row>
    <row r="18" spans="1:8">
      <c r="A18" s="14">
        <v>45198</v>
      </c>
      <c r="B18" s="20">
        <v>4647</v>
      </c>
      <c r="C18" s="16">
        <v>2.9000000000000001E-2</v>
      </c>
      <c r="D18" s="20">
        <v>15885</v>
      </c>
      <c r="E18" s="16">
        <v>9.9000000000000005E-2</v>
      </c>
      <c r="F18" s="16">
        <v>0.1002</v>
      </c>
      <c r="G18" s="16">
        <v>0.15709999999999999</v>
      </c>
      <c r="H18" s="16">
        <v>0.17150000000000001</v>
      </c>
    </row>
    <row r="19" spans="1:8">
      <c r="A19" s="17">
        <v>45199</v>
      </c>
      <c r="B19" s="21">
        <v>2879</v>
      </c>
      <c r="C19" s="19">
        <v>1.7899999999999999E-2</v>
      </c>
      <c r="D19" s="21">
        <v>18764</v>
      </c>
      <c r="E19" s="19">
        <v>0.1169</v>
      </c>
      <c r="F19" s="19">
        <v>0.1166</v>
      </c>
      <c r="G19" s="19">
        <v>0.17430000000000001</v>
      </c>
      <c r="H19" s="19">
        <v>0.1865</v>
      </c>
    </row>
    <row r="20" spans="1:8">
      <c r="A20" s="14">
        <v>45200</v>
      </c>
      <c r="B20" s="15">
        <v>0</v>
      </c>
      <c r="C20" s="16">
        <v>0</v>
      </c>
      <c r="D20" s="20">
        <v>18764</v>
      </c>
      <c r="E20" s="16">
        <v>0.1169</v>
      </c>
      <c r="F20" s="16">
        <v>0.1166</v>
      </c>
      <c r="G20" s="16">
        <v>0.17430000000000001</v>
      </c>
      <c r="H20" s="16">
        <v>0.1865</v>
      </c>
    </row>
    <row r="21" spans="1:8">
      <c r="A21" s="17">
        <v>45201</v>
      </c>
      <c r="B21" s="18">
        <v>0</v>
      </c>
      <c r="C21" s="19">
        <v>0</v>
      </c>
      <c r="D21" s="21">
        <v>18764</v>
      </c>
      <c r="E21" s="19">
        <v>0.1169</v>
      </c>
      <c r="F21" s="19">
        <v>0.1166</v>
      </c>
      <c r="G21" s="19">
        <v>0.17430000000000001</v>
      </c>
      <c r="H21" s="19">
        <v>0.1865</v>
      </c>
    </row>
    <row r="22" spans="1:8">
      <c r="A22" s="14">
        <v>45202</v>
      </c>
      <c r="B22" s="20">
        <v>5576</v>
      </c>
      <c r="C22" s="16">
        <v>3.4799999999999998E-2</v>
      </c>
      <c r="D22" s="20">
        <v>24340</v>
      </c>
      <c r="E22" s="16">
        <v>0.1517</v>
      </c>
      <c r="F22" s="16">
        <v>0.1356</v>
      </c>
      <c r="G22" s="16">
        <v>0.19389999999999999</v>
      </c>
      <c r="H22" s="16">
        <v>0.20430000000000001</v>
      </c>
    </row>
    <row r="23" spans="1:8">
      <c r="A23" s="17">
        <v>45203</v>
      </c>
      <c r="B23" s="21">
        <v>6475</v>
      </c>
      <c r="C23" s="19">
        <v>4.0399999999999998E-2</v>
      </c>
      <c r="D23" s="21">
        <v>30815</v>
      </c>
      <c r="E23" s="19">
        <v>0.19209999999999999</v>
      </c>
      <c r="F23" s="19">
        <v>0.15359999999999999</v>
      </c>
      <c r="G23" s="19">
        <v>0.2132</v>
      </c>
      <c r="H23" s="19">
        <v>0.2581</v>
      </c>
    </row>
    <row r="24" spans="1:8">
      <c r="A24" s="14">
        <v>45204</v>
      </c>
      <c r="B24" s="20">
        <v>7917</v>
      </c>
      <c r="C24" s="16">
        <v>4.9299999999999997E-2</v>
      </c>
      <c r="D24" s="20">
        <v>38732</v>
      </c>
      <c r="E24" s="16">
        <v>0.2414</v>
      </c>
      <c r="F24" s="16">
        <v>0.21460000000000001</v>
      </c>
      <c r="G24" s="16">
        <v>0.28539999999999999</v>
      </c>
      <c r="H24" s="16">
        <v>0.29430000000000001</v>
      </c>
    </row>
    <row r="25" spans="1:8">
      <c r="A25" s="17">
        <v>45205</v>
      </c>
      <c r="B25" s="21">
        <v>9908</v>
      </c>
      <c r="C25" s="19">
        <v>6.1800000000000001E-2</v>
      </c>
      <c r="D25" s="21">
        <v>48640</v>
      </c>
      <c r="E25" s="19">
        <v>0.30309999999999998</v>
      </c>
      <c r="F25" s="19">
        <v>0.28389999999999999</v>
      </c>
      <c r="G25" s="19">
        <v>0.33550000000000002</v>
      </c>
      <c r="H25" s="19">
        <v>0.34610000000000002</v>
      </c>
    </row>
    <row r="26" spans="1:8">
      <c r="A26" s="14">
        <v>45206</v>
      </c>
      <c r="B26" s="20">
        <v>7506</v>
      </c>
      <c r="C26" s="16">
        <v>4.6800000000000001E-2</v>
      </c>
      <c r="D26" s="20">
        <v>56146</v>
      </c>
      <c r="E26" s="16">
        <v>0.34989999999999999</v>
      </c>
      <c r="F26" s="16">
        <v>0.31909999999999999</v>
      </c>
      <c r="G26" s="16">
        <v>0.40050000000000002</v>
      </c>
      <c r="H26" s="16">
        <v>0.38929999999999998</v>
      </c>
    </row>
    <row r="27" spans="1:8">
      <c r="A27" s="17">
        <v>45207</v>
      </c>
      <c r="B27" s="21">
        <v>13303</v>
      </c>
      <c r="C27" s="19">
        <v>8.2900000000000001E-2</v>
      </c>
      <c r="D27" s="21">
        <v>69449</v>
      </c>
      <c r="E27" s="19">
        <v>0.43280000000000002</v>
      </c>
      <c r="F27" s="19">
        <v>0.39889999999999998</v>
      </c>
      <c r="G27" s="19">
        <v>0.4556</v>
      </c>
      <c r="H27" s="19">
        <v>0.4168</v>
      </c>
    </row>
    <row r="28" spans="1:8">
      <c r="A28" s="22" t="s">
        <v>184</v>
      </c>
      <c r="B28" s="23">
        <v>69449</v>
      </c>
      <c r="C28" s="15"/>
      <c r="D28" s="23">
        <v>69449</v>
      </c>
      <c r="E28" s="24">
        <v>0.43280000000000002</v>
      </c>
    </row>
    <row r="29" spans="1:8">
      <c r="A29" s="18"/>
      <c r="B29" s="19">
        <v>1</v>
      </c>
      <c r="C29" s="18"/>
      <c r="D29" s="18"/>
      <c r="E29" s="21">
        <v>160449</v>
      </c>
    </row>
    <row r="32" spans="1:8" ht="42.75" customHeight="1">
      <c r="A32" s="91" t="s">
        <v>185</v>
      </c>
      <c r="B32" s="91"/>
      <c r="C32" s="91"/>
      <c r="D32" s="91"/>
      <c r="E32" s="91"/>
      <c r="F32" s="91"/>
      <c r="G32" s="91"/>
      <c r="H32" s="91"/>
    </row>
    <row r="33" spans="1:8" ht="42.75" customHeight="1">
      <c r="A33" s="91">
        <v>1</v>
      </c>
      <c r="B33" s="91"/>
      <c r="C33" s="91"/>
      <c r="D33" s="91"/>
      <c r="E33" s="91"/>
      <c r="F33" s="91"/>
      <c r="G33" s="91"/>
      <c r="H33" s="91"/>
    </row>
    <row r="34" spans="1:8" ht="42.75" customHeight="1">
      <c r="A34" s="91" t="s">
        <v>186</v>
      </c>
      <c r="B34" s="91"/>
      <c r="C34" s="91"/>
      <c r="D34" s="91"/>
      <c r="E34" s="91"/>
      <c r="F34" s="91"/>
      <c r="G34" s="91"/>
      <c r="H34" s="91"/>
    </row>
    <row r="35" spans="1:8" ht="28.9" thickBot="1">
      <c r="A35" s="28" t="s">
        <v>176</v>
      </c>
      <c r="B35" s="28" t="s">
        <v>177</v>
      </c>
      <c r="C35" s="28" t="s">
        <v>178</v>
      </c>
      <c r="D35" s="28" t="s">
        <v>179</v>
      </c>
      <c r="E35" s="28" t="s">
        <v>187</v>
      </c>
    </row>
    <row r="36" spans="1:8">
      <c r="A36" s="29">
        <v>45188</v>
      </c>
      <c r="B36" s="30">
        <v>0</v>
      </c>
      <c r="C36" s="31">
        <v>0</v>
      </c>
      <c r="D36" s="30">
        <v>0</v>
      </c>
      <c r="E36" s="31">
        <v>0</v>
      </c>
    </row>
    <row r="37" spans="1:8">
      <c r="A37" s="32">
        <v>45189</v>
      </c>
      <c r="B37" s="33">
        <v>5</v>
      </c>
      <c r="C37" s="34">
        <v>1E-4</v>
      </c>
      <c r="D37" s="33">
        <v>5</v>
      </c>
      <c r="E37" s="34">
        <v>1E-4</v>
      </c>
    </row>
    <row r="38" spans="1:8">
      <c r="A38" s="29">
        <v>45190</v>
      </c>
      <c r="B38" s="30">
        <v>298</v>
      </c>
      <c r="C38" s="31">
        <v>8.6E-3</v>
      </c>
      <c r="D38" s="30">
        <v>303</v>
      </c>
      <c r="E38" s="31">
        <v>8.8000000000000005E-3</v>
      </c>
    </row>
    <row r="39" spans="1:8">
      <c r="A39" s="32">
        <v>45191</v>
      </c>
      <c r="B39" s="33">
        <v>276</v>
      </c>
      <c r="C39" s="34">
        <v>8.0000000000000002E-3</v>
      </c>
      <c r="D39" s="33">
        <v>579</v>
      </c>
      <c r="E39" s="34">
        <v>1.67E-2</v>
      </c>
    </row>
    <row r="40" spans="1:8">
      <c r="A40" s="29">
        <v>45192</v>
      </c>
      <c r="B40" s="30">
        <v>219</v>
      </c>
      <c r="C40" s="31">
        <v>6.3E-3</v>
      </c>
      <c r="D40" s="30">
        <v>798</v>
      </c>
      <c r="E40" s="31">
        <v>2.3099999999999999E-2</v>
      </c>
    </row>
    <row r="41" spans="1:8">
      <c r="A41" s="32">
        <v>45193</v>
      </c>
      <c r="B41" s="33">
        <v>0</v>
      </c>
      <c r="C41" s="34">
        <v>0</v>
      </c>
      <c r="D41" s="33">
        <v>798</v>
      </c>
      <c r="E41" s="34">
        <v>2.3099999999999999E-2</v>
      </c>
    </row>
    <row r="42" spans="1:8">
      <c r="A42" s="29">
        <v>45194</v>
      </c>
      <c r="B42" s="30">
        <v>0</v>
      </c>
      <c r="C42" s="31">
        <v>0</v>
      </c>
      <c r="D42" s="30">
        <v>798</v>
      </c>
      <c r="E42" s="31">
        <v>2.3099999999999999E-2</v>
      </c>
    </row>
    <row r="43" spans="1:8">
      <c r="A43" s="32">
        <v>45195</v>
      </c>
      <c r="B43" s="33">
        <v>0</v>
      </c>
      <c r="C43" s="34">
        <v>0</v>
      </c>
      <c r="D43" s="33">
        <v>798</v>
      </c>
      <c r="E43" s="34">
        <v>2.3099999999999999E-2</v>
      </c>
    </row>
    <row r="44" spans="1:8">
      <c r="A44" s="29">
        <v>45196</v>
      </c>
      <c r="B44" s="30">
        <v>614</v>
      </c>
      <c r="C44" s="31">
        <v>1.77E-2</v>
      </c>
      <c r="D44" s="35">
        <v>1412</v>
      </c>
      <c r="E44" s="31">
        <v>4.0800000000000003E-2</v>
      </c>
    </row>
    <row r="45" spans="1:8">
      <c r="A45" s="32">
        <v>45197</v>
      </c>
      <c r="B45" s="33">
        <v>711</v>
      </c>
      <c r="C45" s="34">
        <v>2.0500000000000001E-2</v>
      </c>
      <c r="D45" s="36">
        <v>2123</v>
      </c>
      <c r="E45" s="34">
        <v>6.13E-2</v>
      </c>
    </row>
    <row r="46" spans="1:8">
      <c r="A46" s="29">
        <v>45198</v>
      </c>
      <c r="B46" s="30">
        <v>444</v>
      </c>
      <c r="C46" s="31">
        <v>1.2800000000000001E-2</v>
      </c>
      <c r="D46" s="35">
        <v>2567</v>
      </c>
      <c r="E46" s="31">
        <v>7.4200000000000002E-2</v>
      </c>
    </row>
    <row r="47" spans="1:8">
      <c r="A47" s="32">
        <v>45199</v>
      </c>
      <c r="B47" s="33">
        <v>665</v>
      </c>
      <c r="C47" s="34">
        <v>1.9199999999999998E-2</v>
      </c>
      <c r="D47" s="36">
        <v>3232</v>
      </c>
      <c r="E47" s="34">
        <v>9.3399999999999997E-2</v>
      </c>
    </row>
    <row r="48" spans="1:8">
      <c r="A48" s="29">
        <v>45200</v>
      </c>
      <c r="B48" s="30">
        <v>0</v>
      </c>
      <c r="C48" s="31">
        <v>0</v>
      </c>
      <c r="D48" s="35">
        <v>3232</v>
      </c>
      <c r="E48" s="31">
        <v>9.3399999999999997E-2</v>
      </c>
    </row>
    <row r="49" spans="1:8">
      <c r="A49" s="32">
        <v>45201</v>
      </c>
      <c r="B49" s="33">
        <v>0</v>
      </c>
      <c r="C49" s="34">
        <v>0</v>
      </c>
      <c r="D49" s="36">
        <v>3232</v>
      </c>
      <c r="E49" s="34">
        <v>9.3399999999999997E-2</v>
      </c>
    </row>
    <row r="50" spans="1:8">
      <c r="A50" s="29">
        <v>45202</v>
      </c>
      <c r="B50" s="35">
        <v>1471</v>
      </c>
      <c r="C50" s="31">
        <v>4.2500000000000003E-2</v>
      </c>
      <c r="D50" s="35">
        <v>4703</v>
      </c>
      <c r="E50" s="31">
        <v>0.13589999999999999</v>
      </c>
    </row>
    <row r="51" spans="1:8">
      <c r="A51" s="32">
        <v>45203</v>
      </c>
      <c r="B51" s="36">
        <v>1173</v>
      </c>
      <c r="C51" s="34">
        <v>3.39E-2</v>
      </c>
      <c r="D51" s="36">
        <v>5876</v>
      </c>
      <c r="E51" s="34">
        <v>0.16980000000000001</v>
      </c>
    </row>
    <row r="52" spans="1:8">
      <c r="A52" s="29">
        <v>45204</v>
      </c>
      <c r="B52" s="35">
        <v>1335</v>
      </c>
      <c r="C52" s="31">
        <v>3.8600000000000002E-2</v>
      </c>
      <c r="D52" s="35">
        <v>7211</v>
      </c>
      <c r="E52" s="31">
        <v>0.2084</v>
      </c>
    </row>
    <row r="53" spans="1:8">
      <c r="A53" s="32">
        <v>45205</v>
      </c>
      <c r="B53" s="36">
        <v>2430</v>
      </c>
      <c r="C53" s="34">
        <v>7.0199999999999999E-2</v>
      </c>
      <c r="D53" s="36">
        <v>9641</v>
      </c>
      <c r="E53" s="34">
        <v>0.27860000000000001</v>
      </c>
    </row>
    <row r="54" spans="1:8">
      <c r="A54" s="29">
        <v>45206</v>
      </c>
      <c r="B54" s="35">
        <v>1487</v>
      </c>
      <c r="C54" s="31">
        <v>4.2999999999999997E-2</v>
      </c>
      <c r="D54" s="35">
        <v>11128</v>
      </c>
      <c r="E54" s="31">
        <v>0.3216</v>
      </c>
    </row>
    <row r="55" spans="1:8">
      <c r="A55" s="32">
        <v>45207</v>
      </c>
      <c r="B55" s="36">
        <v>2655</v>
      </c>
      <c r="C55" s="34">
        <v>7.6700000000000004E-2</v>
      </c>
      <c r="D55" s="36">
        <v>13783</v>
      </c>
      <c r="E55" s="34">
        <v>0.39829999999999999</v>
      </c>
    </row>
    <row r="56" spans="1:8">
      <c r="A56" s="37" t="s">
        <v>184</v>
      </c>
      <c r="B56" s="38">
        <v>13783</v>
      </c>
      <c r="C56" s="30"/>
      <c r="D56" s="38">
        <v>13783</v>
      </c>
      <c r="E56" s="39">
        <v>0.39829999999999999</v>
      </c>
    </row>
    <row r="58" spans="1:8">
      <c r="A58" s="91" t="s">
        <v>188</v>
      </c>
      <c r="B58" s="91"/>
      <c r="C58" s="91"/>
      <c r="D58" s="91"/>
      <c r="E58" s="91"/>
      <c r="F58" s="91"/>
      <c r="G58" s="91"/>
      <c r="H58" s="91"/>
    </row>
    <row r="59" spans="1:8">
      <c r="A59" s="91">
        <v>2</v>
      </c>
      <c r="B59" s="91"/>
      <c r="C59" s="91"/>
      <c r="D59" s="91"/>
      <c r="E59" s="91"/>
      <c r="F59" s="91"/>
      <c r="G59" s="91"/>
      <c r="H59" s="91"/>
    </row>
    <row r="60" spans="1:8">
      <c r="A60" s="91" t="s">
        <v>189</v>
      </c>
      <c r="B60" s="91"/>
      <c r="C60" s="91"/>
      <c r="D60" s="91"/>
      <c r="E60" s="91"/>
      <c r="F60" s="91"/>
      <c r="G60" s="91"/>
      <c r="H60" s="91"/>
    </row>
    <row r="61" spans="1:8" ht="28.9" thickBot="1">
      <c r="A61" s="28" t="s">
        <v>176</v>
      </c>
      <c r="B61" s="28" t="s">
        <v>177</v>
      </c>
      <c r="C61" s="28" t="s">
        <v>178</v>
      </c>
      <c r="D61" s="28" t="s">
        <v>179</v>
      </c>
      <c r="E61" s="28" t="s">
        <v>187</v>
      </c>
    </row>
    <row r="62" spans="1:8">
      <c r="A62" s="29">
        <v>45188</v>
      </c>
      <c r="B62" s="30">
        <v>0</v>
      </c>
      <c r="C62" s="31">
        <v>0</v>
      </c>
      <c r="D62" s="30">
        <v>0</v>
      </c>
      <c r="E62" s="31">
        <v>0</v>
      </c>
    </row>
    <row r="63" spans="1:8">
      <c r="A63" s="32">
        <v>45189</v>
      </c>
      <c r="B63" s="33">
        <v>1</v>
      </c>
      <c r="C63" s="34">
        <v>0</v>
      </c>
      <c r="D63" s="33">
        <v>1</v>
      </c>
      <c r="E63" s="34">
        <v>0</v>
      </c>
    </row>
    <row r="64" spans="1:8">
      <c r="A64" s="29">
        <v>45190</v>
      </c>
      <c r="B64" s="30">
        <v>313</v>
      </c>
      <c r="C64" s="31">
        <v>9.2999999999999992E-3</v>
      </c>
      <c r="D64" s="30">
        <v>314</v>
      </c>
      <c r="E64" s="31">
        <v>9.2999999999999992E-3</v>
      </c>
    </row>
    <row r="65" spans="1:5">
      <c r="A65" s="32">
        <v>45191</v>
      </c>
      <c r="B65" s="33">
        <v>289</v>
      </c>
      <c r="C65" s="34">
        <v>8.6E-3</v>
      </c>
      <c r="D65" s="33">
        <v>603</v>
      </c>
      <c r="E65" s="34">
        <v>1.7999999999999999E-2</v>
      </c>
    </row>
    <row r="66" spans="1:5">
      <c r="A66" s="29">
        <v>45192</v>
      </c>
      <c r="B66" s="30">
        <v>260</v>
      </c>
      <c r="C66" s="31">
        <v>7.7000000000000002E-3</v>
      </c>
      <c r="D66" s="30">
        <v>863</v>
      </c>
      <c r="E66" s="31">
        <v>2.5700000000000001E-2</v>
      </c>
    </row>
    <row r="67" spans="1:5">
      <c r="A67" s="32">
        <v>45193</v>
      </c>
      <c r="B67" s="33">
        <v>0</v>
      </c>
      <c r="C67" s="34">
        <v>0</v>
      </c>
      <c r="D67" s="33">
        <v>863</v>
      </c>
      <c r="E67" s="34">
        <v>2.5700000000000001E-2</v>
      </c>
    </row>
    <row r="68" spans="1:5">
      <c r="A68" s="29">
        <v>45194</v>
      </c>
      <c r="B68" s="30">
        <v>0</v>
      </c>
      <c r="C68" s="31">
        <v>0</v>
      </c>
      <c r="D68" s="30">
        <v>863</v>
      </c>
      <c r="E68" s="31">
        <v>2.5700000000000001E-2</v>
      </c>
    </row>
    <row r="69" spans="1:5">
      <c r="A69" s="32">
        <v>45195</v>
      </c>
      <c r="B69" s="33">
        <v>0</v>
      </c>
      <c r="C69" s="34">
        <v>0</v>
      </c>
      <c r="D69" s="33">
        <v>863</v>
      </c>
      <c r="E69" s="34">
        <v>2.5700000000000001E-2</v>
      </c>
    </row>
    <row r="70" spans="1:5">
      <c r="A70" s="29">
        <v>45196</v>
      </c>
      <c r="B70" s="30">
        <v>788</v>
      </c>
      <c r="C70" s="31">
        <v>2.35E-2</v>
      </c>
      <c r="D70" s="35">
        <v>1651</v>
      </c>
      <c r="E70" s="31">
        <v>4.9200000000000001E-2</v>
      </c>
    </row>
    <row r="71" spans="1:5">
      <c r="A71" s="32">
        <v>45197</v>
      </c>
      <c r="B71" s="33">
        <v>840</v>
      </c>
      <c r="C71" s="34">
        <v>2.5000000000000001E-2</v>
      </c>
      <c r="D71" s="36">
        <v>2491</v>
      </c>
      <c r="E71" s="34">
        <v>7.4200000000000002E-2</v>
      </c>
    </row>
    <row r="72" spans="1:5">
      <c r="A72" s="29">
        <v>45198</v>
      </c>
      <c r="B72" s="35">
        <v>1050</v>
      </c>
      <c r="C72" s="31">
        <v>3.1300000000000001E-2</v>
      </c>
      <c r="D72" s="35">
        <v>3541</v>
      </c>
      <c r="E72" s="31">
        <v>0.10539999999999999</v>
      </c>
    </row>
    <row r="73" spans="1:5">
      <c r="A73" s="32">
        <v>45199</v>
      </c>
      <c r="B73" s="33">
        <v>728</v>
      </c>
      <c r="C73" s="34">
        <v>2.1700000000000001E-2</v>
      </c>
      <c r="D73" s="36">
        <v>4269</v>
      </c>
      <c r="E73" s="34">
        <v>0.12709999999999999</v>
      </c>
    </row>
    <row r="74" spans="1:5">
      <c r="A74" s="29">
        <v>45200</v>
      </c>
      <c r="B74" s="30">
        <v>0</v>
      </c>
      <c r="C74" s="31">
        <v>0</v>
      </c>
      <c r="D74" s="35">
        <v>4269</v>
      </c>
      <c r="E74" s="31">
        <v>0.12709999999999999</v>
      </c>
    </row>
    <row r="75" spans="1:5">
      <c r="A75" s="32">
        <v>45201</v>
      </c>
      <c r="B75" s="33">
        <v>0</v>
      </c>
      <c r="C75" s="34">
        <v>0</v>
      </c>
      <c r="D75" s="36">
        <v>4269</v>
      </c>
      <c r="E75" s="34">
        <v>0.12709999999999999</v>
      </c>
    </row>
    <row r="76" spans="1:5">
      <c r="A76" s="29">
        <v>45202</v>
      </c>
      <c r="B76" s="35">
        <v>1197</v>
      </c>
      <c r="C76" s="31">
        <v>3.56E-2</v>
      </c>
      <c r="D76" s="35">
        <v>5466</v>
      </c>
      <c r="E76" s="31">
        <v>0.16270000000000001</v>
      </c>
    </row>
    <row r="77" spans="1:5">
      <c r="A77" s="32">
        <v>45203</v>
      </c>
      <c r="B77" s="36">
        <v>1827</v>
      </c>
      <c r="C77" s="34">
        <v>5.4399999999999997E-2</v>
      </c>
      <c r="D77" s="36">
        <v>7293</v>
      </c>
      <c r="E77" s="34">
        <v>0.21709999999999999</v>
      </c>
    </row>
    <row r="78" spans="1:5">
      <c r="A78" s="29">
        <v>45204</v>
      </c>
      <c r="B78" s="35">
        <v>2212</v>
      </c>
      <c r="C78" s="31">
        <v>6.59E-2</v>
      </c>
      <c r="D78" s="35">
        <v>9505</v>
      </c>
      <c r="E78" s="31">
        <v>0.28299999999999997</v>
      </c>
    </row>
    <row r="79" spans="1:5">
      <c r="A79" s="32">
        <v>45205</v>
      </c>
      <c r="B79" s="36">
        <v>2547</v>
      </c>
      <c r="C79" s="34">
        <v>7.5800000000000006E-2</v>
      </c>
      <c r="D79" s="36">
        <v>12052</v>
      </c>
      <c r="E79" s="34">
        <v>0.35880000000000001</v>
      </c>
    </row>
    <row r="80" spans="1:5">
      <c r="A80" s="29">
        <v>45206</v>
      </c>
      <c r="B80" s="35">
        <v>1736</v>
      </c>
      <c r="C80" s="31">
        <v>5.1700000000000003E-2</v>
      </c>
      <c r="D80" s="35">
        <v>13788</v>
      </c>
      <c r="E80" s="31">
        <v>0.41049999999999998</v>
      </c>
    </row>
    <row r="81" spans="1:8">
      <c r="A81" s="32">
        <v>45207</v>
      </c>
      <c r="B81" s="36">
        <v>3261</v>
      </c>
      <c r="C81" s="34">
        <v>9.7100000000000006E-2</v>
      </c>
      <c r="D81" s="36">
        <v>17049</v>
      </c>
      <c r="E81" s="34">
        <v>0.50749999999999995</v>
      </c>
    </row>
    <row r="82" spans="1:8">
      <c r="A82" s="37" t="s">
        <v>184</v>
      </c>
      <c r="B82" s="38">
        <v>17049</v>
      </c>
      <c r="C82" s="30"/>
      <c r="D82" s="38">
        <v>17049</v>
      </c>
      <c r="E82" s="39">
        <v>0.50749999999999995</v>
      </c>
    </row>
    <row r="85" spans="1:8">
      <c r="A85" s="91" t="s">
        <v>190</v>
      </c>
      <c r="B85" s="91"/>
      <c r="C85" s="91"/>
      <c r="D85" s="91"/>
      <c r="E85" s="91"/>
      <c r="F85" s="91"/>
      <c r="G85" s="91"/>
      <c r="H85" s="91"/>
    </row>
    <row r="86" spans="1:8">
      <c r="A86" s="91">
        <v>3</v>
      </c>
      <c r="B86" s="91"/>
      <c r="C86" s="91"/>
      <c r="D86" s="91"/>
      <c r="E86" s="91"/>
      <c r="F86" s="91"/>
      <c r="G86" s="91"/>
      <c r="H86" s="91"/>
    </row>
    <row r="87" spans="1:8">
      <c r="A87" s="91" t="s">
        <v>191</v>
      </c>
      <c r="B87" s="91"/>
      <c r="C87" s="91"/>
      <c r="D87" s="91"/>
      <c r="E87" s="91"/>
      <c r="F87" s="91"/>
      <c r="G87" s="91"/>
      <c r="H87" s="91"/>
    </row>
    <row r="88" spans="1:8">
      <c r="A88" s="12" t="s">
        <v>176</v>
      </c>
      <c r="B88" s="12" t="s">
        <v>177</v>
      </c>
      <c r="C88" s="12" t="s">
        <v>178</v>
      </c>
      <c r="D88" s="12" t="s">
        <v>179</v>
      </c>
      <c r="E88" s="12" t="s">
        <v>187</v>
      </c>
    </row>
    <row r="89" spans="1:8">
      <c r="A89" s="25">
        <v>45188</v>
      </c>
      <c r="B89" s="12">
        <v>0</v>
      </c>
      <c r="C89" s="26">
        <v>0</v>
      </c>
      <c r="D89" s="12">
        <v>0</v>
      </c>
      <c r="E89" s="26">
        <v>0</v>
      </c>
    </row>
    <row r="90" spans="1:8">
      <c r="A90" s="25">
        <v>45189</v>
      </c>
      <c r="B90" s="12">
        <v>7</v>
      </c>
      <c r="C90" s="26">
        <v>2.0000000000000001E-4</v>
      </c>
      <c r="D90" s="12">
        <v>7</v>
      </c>
      <c r="E90" s="26">
        <v>2.0000000000000001E-4</v>
      </c>
    </row>
    <row r="91" spans="1:8">
      <c r="A91" s="25">
        <v>45190</v>
      </c>
      <c r="B91" s="12">
        <v>348</v>
      </c>
      <c r="C91" s="26">
        <v>1.0800000000000001E-2</v>
      </c>
      <c r="D91" s="12">
        <v>355</v>
      </c>
      <c r="E91" s="26">
        <v>1.0999999999999999E-2</v>
      </c>
    </row>
    <row r="92" spans="1:8">
      <c r="A92" s="25">
        <v>45191</v>
      </c>
      <c r="B92" s="12">
        <v>287</v>
      </c>
      <c r="C92" s="26">
        <v>8.8999999999999999E-3</v>
      </c>
      <c r="D92" s="12">
        <v>642</v>
      </c>
      <c r="E92" s="26">
        <v>0.02</v>
      </c>
    </row>
    <row r="93" spans="1:8">
      <c r="A93" s="25">
        <v>45192</v>
      </c>
      <c r="B93" s="12">
        <v>272</v>
      </c>
      <c r="C93" s="26">
        <v>8.5000000000000006E-3</v>
      </c>
      <c r="D93" s="12">
        <v>914</v>
      </c>
      <c r="E93" s="26">
        <v>2.8400000000000002E-2</v>
      </c>
    </row>
    <row r="94" spans="1:8">
      <c r="A94" s="25">
        <v>45193</v>
      </c>
      <c r="B94" s="12">
        <v>0</v>
      </c>
      <c r="C94" s="26">
        <v>0</v>
      </c>
      <c r="D94" s="12">
        <v>914</v>
      </c>
      <c r="E94" s="26">
        <v>2.8400000000000002E-2</v>
      </c>
    </row>
    <row r="95" spans="1:8">
      <c r="A95" s="25">
        <v>45194</v>
      </c>
      <c r="B95" s="12">
        <v>0</v>
      </c>
      <c r="C95" s="26">
        <v>0</v>
      </c>
      <c r="D95" s="12">
        <v>914</v>
      </c>
      <c r="E95" s="26">
        <v>2.8400000000000002E-2</v>
      </c>
    </row>
    <row r="96" spans="1:8">
      <c r="A96" s="25">
        <v>45195</v>
      </c>
      <c r="B96" s="12">
        <v>0</v>
      </c>
      <c r="C96" s="26">
        <v>0</v>
      </c>
      <c r="D96" s="12">
        <v>914</v>
      </c>
      <c r="E96" s="26">
        <v>2.8400000000000002E-2</v>
      </c>
    </row>
    <row r="97" spans="1:8">
      <c r="A97" s="25">
        <v>45196</v>
      </c>
      <c r="B97" s="12">
        <v>610</v>
      </c>
      <c r="C97" s="26">
        <v>1.9E-2</v>
      </c>
      <c r="D97" s="27">
        <v>1524</v>
      </c>
      <c r="E97" s="26">
        <v>4.7399999999999998E-2</v>
      </c>
    </row>
    <row r="98" spans="1:8">
      <c r="A98" s="25">
        <v>45197</v>
      </c>
      <c r="B98" s="12">
        <v>603</v>
      </c>
      <c r="C98" s="26">
        <v>1.8800000000000001E-2</v>
      </c>
      <c r="D98" s="27">
        <v>2127</v>
      </c>
      <c r="E98" s="26">
        <v>6.6199999999999995E-2</v>
      </c>
    </row>
    <row r="99" spans="1:8">
      <c r="A99" s="25">
        <v>45198</v>
      </c>
      <c r="B99" s="12">
        <v>991</v>
      </c>
      <c r="C99" s="26">
        <v>3.0800000000000001E-2</v>
      </c>
      <c r="D99" s="27">
        <v>3118</v>
      </c>
      <c r="E99" s="26">
        <v>9.7000000000000003E-2</v>
      </c>
    </row>
    <row r="100" spans="1:8">
      <c r="A100" s="25">
        <v>45199</v>
      </c>
      <c r="B100" s="12">
        <v>464</v>
      </c>
      <c r="C100" s="26">
        <v>1.44E-2</v>
      </c>
      <c r="D100" s="27">
        <v>3582</v>
      </c>
      <c r="E100" s="26">
        <v>0.1115</v>
      </c>
    </row>
    <row r="101" spans="1:8">
      <c r="A101" s="25">
        <v>45200</v>
      </c>
      <c r="B101" s="12">
        <v>0</v>
      </c>
      <c r="C101" s="26">
        <v>0</v>
      </c>
      <c r="D101" s="27">
        <v>3582</v>
      </c>
      <c r="E101" s="26">
        <v>0.1115</v>
      </c>
    </row>
    <row r="102" spans="1:8">
      <c r="A102" s="25">
        <v>45201</v>
      </c>
      <c r="B102" s="12">
        <v>0</v>
      </c>
      <c r="C102" s="26">
        <v>0</v>
      </c>
      <c r="D102" s="27">
        <v>3582</v>
      </c>
      <c r="E102" s="26">
        <v>0.1115</v>
      </c>
    </row>
    <row r="103" spans="1:8">
      <c r="A103" s="25">
        <v>45202</v>
      </c>
      <c r="B103" s="12">
        <v>888</v>
      </c>
      <c r="C103" s="26">
        <v>2.76E-2</v>
      </c>
      <c r="D103" s="27">
        <v>4470</v>
      </c>
      <c r="E103" s="26">
        <v>0.1391</v>
      </c>
    </row>
    <row r="104" spans="1:8">
      <c r="A104" s="25">
        <v>45203</v>
      </c>
      <c r="B104" s="27">
        <v>1082</v>
      </c>
      <c r="C104" s="26">
        <v>3.3700000000000001E-2</v>
      </c>
      <c r="D104" s="27">
        <v>5552</v>
      </c>
      <c r="E104" s="26">
        <v>0.17280000000000001</v>
      </c>
    </row>
    <row r="105" spans="1:8">
      <c r="A105" s="25">
        <v>45204</v>
      </c>
      <c r="B105" s="27">
        <v>1446</v>
      </c>
      <c r="C105" s="26">
        <v>4.4999999999999998E-2</v>
      </c>
      <c r="D105" s="27">
        <v>6998</v>
      </c>
      <c r="E105" s="26">
        <v>0.21779999999999999</v>
      </c>
    </row>
    <row r="106" spans="1:8">
      <c r="A106" s="25">
        <v>45205</v>
      </c>
      <c r="B106" s="27">
        <v>1466</v>
      </c>
      <c r="C106" s="26">
        <v>4.5600000000000002E-2</v>
      </c>
      <c r="D106" s="27">
        <v>8464</v>
      </c>
      <c r="E106" s="26">
        <v>0.26340000000000002</v>
      </c>
    </row>
    <row r="107" spans="1:8">
      <c r="A107" s="25">
        <v>45206</v>
      </c>
      <c r="B107" s="27">
        <v>1054</v>
      </c>
      <c r="C107" s="26">
        <v>3.2800000000000003E-2</v>
      </c>
      <c r="D107" s="27">
        <v>9518</v>
      </c>
      <c r="E107" s="26">
        <v>0.29620000000000002</v>
      </c>
    </row>
    <row r="108" spans="1:8">
      <c r="A108" s="25">
        <v>45207</v>
      </c>
      <c r="B108" s="27">
        <v>2317</v>
      </c>
      <c r="C108" s="26">
        <v>7.2099999999999997E-2</v>
      </c>
      <c r="D108" s="27">
        <v>11835</v>
      </c>
      <c r="E108" s="26">
        <v>0.36830000000000002</v>
      </c>
    </row>
    <row r="109" spans="1:8">
      <c r="A109" s="12" t="s">
        <v>184</v>
      </c>
      <c r="B109" s="27">
        <v>11835</v>
      </c>
      <c r="D109" s="27">
        <v>11835</v>
      </c>
      <c r="E109" s="26">
        <v>0.36830000000000002</v>
      </c>
    </row>
    <row r="112" spans="1:8">
      <c r="A112" s="91" t="s">
        <v>192</v>
      </c>
      <c r="B112" s="91"/>
      <c r="C112" s="91"/>
      <c r="D112" s="91"/>
      <c r="E112" s="91"/>
      <c r="F112" s="91"/>
      <c r="G112" s="91"/>
      <c r="H112" s="91"/>
    </row>
    <row r="113" spans="1:8">
      <c r="A113" s="91">
        <v>4</v>
      </c>
      <c r="B113" s="91"/>
      <c r="C113" s="91"/>
      <c r="D113" s="91"/>
      <c r="E113" s="91"/>
      <c r="F113" s="91"/>
      <c r="G113" s="91"/>
      <c r="H113" s="91"/>
    </row>
    <row r="114" spans="1:8">
      <c r="A114" s="91" t="s">
        <v>193</v>
      </c>
      <c r="B114" s="91"/>
      <c r="C114" s="91"/>
      <c r="D114" s="91"/>
      <c r="E114" s="91"/>
      <c r="F114" s="91"/>
      <c r="G114" s="91"/>
      <c r="H114" s="91"/>
    </row>
    <row r="115" spans="1:8" ht="28.9" thickBot="1">
      <c r="A115" s="28" t="s">
        <v>176</v>
      </c>
      <c r="B115" s="28" t="s">
        <v>177</v>
      </c>
      <c r="C115" s="28" t="s">
        <v>178</v>
      </c>
      <c r="D115" s="28" t="s">
        <v>179</v>
      </c>
      <c r="E115" s="28" t="s">
        <v>187</v>
      </c>
    </row>
    <row r="116" spans="1:8">
      <c r="A116" s="29">
        <v>45188</v>
      </c>
      <c r="B116" s="30">
        <v>0</v>
      </c>
      <c r="C116" s="31">
        <v>0</v>
      </c>
      <c r="D116" s="30">
        <v>0</v>
      </c>
      <c r="E116" s="31">
        <v>0</v>
      </c>
    </row>
    <row r="117" spans="1:8">
      <c r="A117" s="32">
        <v>45189</v>
      </c>
      <c r="B117" s="33">
        <v>6</v>
      </c>
      <c r="C117" s="34">
        <v>2.0000000000000001E-4</v>
      </c>
      <c r="D117" s="33">
        <v>6</v>
      </c>
      <c r="E117" s="34">
        <v>2.0000000000000001E-4</v>
      </c>
    </row>
    <row r="118" spans="1:8">
      <c r="A118" s="29">
        <v>45190</v>
      </c>
      <c r="B118" s="30">
        <v>310</v>
      </c>
      <c r="C118" s="31">
        <v>1.0699999999999999E-2</v>
      </c>
      <c r="D118" s="30">
        <v>316</v>
      </c>
      <c r="E118" s="31">
        <v>1.09E-2</v>
      </c>
    </row>
    <row r="119" spans="1:8">
      <c r="A119" s="32">
        <v>45191</v>
      </c>
      <c r="B119" s="33">
        <v>277</v>
      </c>
      <c r="C119" s="34">
        <v>9.5999999999999992E-3</v>
      </c>
      <c r="D119" s="33">
        <v>593</v>
      </c>
      <c r="E119" s="34">
        <v>2.0500000000000001E-2</v>
      </c>
    </row>
    <row r="120" spans="1:8">
      <c r="A120" s="29">
        <v>45192</v>
      </c>
      <c r="B120" s="30">
        <v>338</v>
      </c>
      <c r="C120" s="31">
        <v>1.17E-2</v>
      </c>
      <c r="D120" s="30">
        <v>931</v>
      </c>
      <c r="E120" s="31">
        <v>3.2300000000000002E-2</v>
      </c>
    </row>
    <row r="121" spans="1:8">
      <c r="A121" s="32">
        <v>45193</v>
      </c>
      <c r="B121" s="33">
        <v>0</v>
      </c>
      <c r="C121" s="34">
        <v>0</v>
      </c>
      <c r="D121" s="33">
        <v>931</v>
      </c>
      <c r="E121" s="34">
        <v>3.2300000000000002E-2</v>
      </c>
    </row>
    <row r="122" spans="1:8">
      <c r="A122" s="29">
        <v>45194</v>
      </c>
      <c r="B122" s="30">
        <v>0</v>
      </c>
      <c r="C122" s="31">
        <v>0</v>
      </c>
      <c r="D122" s="30">
        <v>931</v>
      </c>
      <c r="E122" s="31">
        <v>3.2300000000000002E-2</v>
      </c>
    </row>
    <row r="123" spans="1:8">
      <c r="A123" s="32">
        <v>45195</v>
      </c>
      <c r="B123" s="33">
        <v>0</v>
      </c>
      <c r="C123" s="34">
        <v>0</v>
      </c>
      <c r="D123" s="33">
        <v>931</v>
      </c>
      <c r="E123" s="34">
        <v>3.2300000000000002E-2</v>
      </c>
    </row>
    <row r="124" spans="1:8">
      <c r="A124" s="29">
        <v>45196</v>
      </c>
      <c r="B124" s="30">
        <v>618</v>
      </c>
      <c r="C124" s="31">
        <v>2.1399999999999999E-2</v>
      </c>
      <c r="D124" s="35">
        <v>1549</v>
      </c>
      <c r="E124" s="31">
        <v>5.3699999999999998E-2</v>
      </c>
    </row>
    <row r="125" spans="1:8">
      <c r="A125" s="32">
        <v>45197</v>
      </c>
      <c r="B125" s="33">
        <v>552</v>
      </c>
      <c r="C125" s="34">
        <v>1.9099999999999999E-2</v>
      </c>
      <c r="D125" s="36">
        <v>2101</v>
      </c>
      <c r="E125" s="34">
        <v>7.2800000000000004E-2</v>
      </c>
    </row>
    <row r="126" spans="1:8">
      <c r="A126" s="29">
        <v>45198</v>
      </c>
      <c r="B126" s="35">
        <v>1073</v>
      </c>
      <c r="C126" s="31">
        <v>3.7199999999999997E-2</v>
      </c>
      <c r="D126" s="35">
        <v>3174</v>
      </c>
      <c r="E126" s="31">
        <v>0.1099</v>
      </c>
    </row>
    <row r="127" spans="1:8">
      <c r="A127" s="32">
        <v>45199</v>
      </c>
      <c r="B127" s="33">
        <v>407</v>
      </c>
      <c r="C127" s="34">
        <v>1.41E-2</v>
      </c>
      <c r="D127" s="36">
        <v>3581</v>
      </c>
      <c r="E127" s="34">
        <v>0.124</v>
      </c>
    </row>
    <row r="128" spans="1:8">
      <c r="A128" s="29">
        <v>45200</v>
      </c>
      <c r="B128" s="30">
        <v>0</v>
      </c>
      <c r="C128" s="31">
        <v>0</v>
      </c>
      <c r="D128" s="35">
        <v>3581</v>
      </c>
      <c r="E128" s="31">
        <v>0.124</v>
      </c>
    </row>
    <row r="129" spans="1:8">
      <c r="A129" s="32">
        <v>45201</v>
      </c>
      <c r="B129" s="33">
        <v>0</v>
      </c>
      <c r="C129" s="34">
        <v>0</v>
      </c>
      <c r="D129" s="36">
        <v>3581</v>
      </c>
      <c r="E129" s="34">
        <v>0.124</v>
      </c>
    </row>
    <row r="130" spans="1:8">
      <c r="A130" s="29">
        <v>45202</v>
      </c>
      <c r="B130" s="30">
        <v>996</v>
      </c>
      <c r="C130" s="31">
        <v>3.4500000000000003E-2</v>
      </c>
      <c r="D130" s="35">
        <v>4577</v>
      </c>
      <c r="E130" s="31">
        <v>0.1585</v>
      </c>
    </row>
    <row r="131" spans="1:8">
      <c r="A131" s="32">
        <v>45203</v>
      </c>
      <c r="B131" s="36">
        <v>1088</v>
      </c>
      <c r="C131" s="34">
        <v>3.7699999999999997E-2</v>
      </c>
      <c r="D131" s="36">
        <v>5665</v>
      </c>
      <c r="E131" s="34">
        <v>0.19620000000000001</v>
      </c>
    </row>
    <row r="132" spans="1:8">
      <c r="A132" s="29">
        <v>45204</v>
      </c>
      <c r="B132" s="35">
        <v>1246</v>
      </c>
      <c r="C132" s="31">
        <v>4.3200000000000002E-2</v>
      </c>
      <c r="D132" s="35">
        <v>6911</v>
      </c>
      <c r="E132" s="31">
        <v>0.2394</v>
      </c>
    </row>
    <row r="133" spans="1:8">
      <c r="A133" s="32">
        <v>45205</v>
      </c>
      <c r="B133" s="36">
        <v>1845</v>
      </c>
      <c r="C133" s="34">
        <v>6.3899999999999998E-2</v>
      </c>
      <c r="D133" s="36">
        <v>8756</v>
      </c>
      <c r="E133" s="34">
        <v>0.30330000000000001</v>
      </c>
    </row>
    <row r="134" spans="1:8">
      <c r="A134" s="29">
        <v>45206</v>
      </c>
      <c r="B134" s="35">
        <v>1827</v>
      </c>
      <c r="C134" s="31">
        <v>6.3299999999999995E-2</v>
      </c>
      <c r="D134" s="35">
        <v>10583</v>
      </c>
      <c r="E134" s="31">
        <v>0.36659999999999998</v>
      </c>
    </row>
    <row r="135" spans="1:8">
      <c r="A135" s="32">
        <v>45207</v>
      </c>
      <c r="B135" s="36">
        <v>2492</v>
      </c>
      <c r="C135" s="34">
        <v>8.6300000000000002E-2</v>
      </c>
      <c r="D135" s="36">
        <v>13075</v>
      </c>
      <c r="E135" s="34">
        <v>0.45290000000000002</v>
      </c>
    </row>
    <row r="136" spans="1:8">
      <c r="A136" s="37" t="s">
        <v>184</v>
      </c>
      <c r="B136" s="38">
        <v>13075</v>
      </c>
      <c r="C136" s="30"/>
      <c r="D136" s="38">
        <v>13075</v>
      </c>
      <c r="E136" s="39">
        <v>0.45290000000000002</v>
      </c>
    </row>
    <row r="139" spans="1:8">
      <c r="A139" s="91" t="s">
        <v>194</v>
      </c>
      <c r="B139" s="91"/>
      <c r="C139" s="91"/>
      <c r="D139" s="91"/>
      <c r="E139" s="91"/>
      <c r="F139" s="91"/>
      <c r="G139" s="91"/>
      <c r="H139" s="91"/>
    </row>
    <row r="140" spans="1:8">
      <c r="A140" s="91">
        <v>5</v>
      </c>
      <c r="B140" s="91"/>
      <c r="C140" s="91"/>
      <c r="D140" s="91"/>
      <c r="E140" s="91"/>
      <c r="F140" s="91"/>
      <c r="G140" s="91"/>
      <c r="H140" s="91"/>
    </row>
    <row r="141" spans="1:8">
      <c r="A141" s="91" t="s">
        <v>195</v>
      </c>
      <c r="B141" s="91"/>
      <c r="C141" s="91"/>
      <c r="D141" s="91"/>
      <c r="E141" s="91"/>
      <c r="F141" s="91"/>
      <c r="G141" s="91"/>
      <c r="H141" s="91"/>
    </row>
    <row r="142" spans="1:8">
      <c r="A142" s="12" t="s">
        <v>176</v>
      </c>
      <c r="B142" s="12" t="s">
        <v>177</v>
      </c>
      <c r="C142" s="12" t="s">
        <v>178</v>
      </c>
      <c r="D142" s="12" t="s">
        <v>179</v>
      </c>
      <c r="E142" s="12" t="s">
        <v>187</v>
      </c>
    </row>
    <row r="143" spans="1:8">
      <c r="A143" s="25">
        <v>45188</v>
      </c>
      <c r="B143" s="12">
        <v>0</v>
      </c>
      <c r="C143" s="26">
        <v>0</v>
      </c>
      <c r="D143" s="12">
        <v>0</v>
      </c>
      <c r="E143" s="26">
        <v>0</v>
      </c>
    </row>
    <row r="144" spans="1:8">
      <c r="A144" s="25">
        <v>45189</v>
      </c>
      <c r="B144" s="12">
        <v>2</v>
      </c>
      <c r="C144" s="26">
        <v>1E-4</v>
      </c>
      <c r="D144" s="12">
        <v>2</v>
      </c>
      <c r="E144" s="26">
        <v>1E-4</v>
      </c>
    </row>
    <row r="145" spans="1:5">
      <c r="A145" s="25">
        <v>45190</v>
      </c>
      <c r="B145" s="12">
        <v>241</v>
      </c>
      <c r="C145" s="26">
        <v>9.4999999999999998E-3</v>
      </c>
      <c r="D145" s="12">
        <v>243</v>
      </c>
      <c r="E145" s="26">
        <v>9.4999999999999998E-3</v>
      </c>
    </row>
    <row r="146" spans="1:5">
      <c r="A146" s="25">
        <v>45191</v>
      </c>
      <c r="B146" s="12">
        <v>297</v>
      </c>
      <c r="C146" s="26">
        <v>1.17E-2</v>
      </c>
      <c r="D146" s="12">
        <v>540</v>
      </c>
      <c r="E146" s="26">
        <v>2.12E-2</v>
      </c>
    </row>
    <row r="147" spans="1:5">
      <c r="A147" s="25">
        <v>45192</v>
      </c>
      <c r="B147" s="12">
        <v>343</v>
      </c>
      <c r="C147" s="26">
        <v>1.35E-2</v>
      </c>
      <c r="D147" s="12">
        <v>883</v>
      </c>
      <c r="E147" s="26">
        <v>3.4700000000000002E-2</v>
      </c>
    </row>
    <row r="148" spans="1:5">
      <c r="A148" s="25">
        <v>45193</v>
      </c>
      <c r="B148" s="12">
        <v>0</v>
      </c>
      <c r="C148" s="26">
        <v>0</v>
      </c>
      <c r="D148" s="12">
        <v>883</v>
      </c>
      <c r="E148" s="26">
        <v>3.4700000000000002E-2</v>
      </c>
    </row>
    <row r="149" spans="1:5">
      <c r="A149" s="25">
        <v>45194</v>
      </c>
      <c r="B149" s="12">
        <v>0</v>
      </c>
      <c r="C149" s="26">
        <v>0</v>
      </c>
      <c r="D149" s="12">
        <v>883</v>
      </c>
      <c r="E149" s="26">
        <v>3.4700000000000002E-2</v>
      </c>
    </row>
    <row r="150" spans="1:5">
      <c r="A150" s="25">
        <v>45195</v>
      </c>
      <c r="B150" s="12">
        <v>0</v>
      </c>
      <c r="C150" s="26">
        <v>0</v>
      </c>
      <c r="D150" s="12">
        <v>883</v>
      </c>
      <c r="E150" s="26">
        <v>3.4700000000000002E-2</v>
      </c>
    </row>
    <row r="151" spans="1:5">
      <c r="A151" s="25">
        <v>45196</v>
      </c>
      <c r="B151" s="12">
        <v>626</v>
      </c>
      <c r="C151" s="26">
        <v>2.46E-2</v>
      </c>
      <c r="D151" s="27">
        <v>1509</v>
      </c>
      <c r="E151" s="26">
        <v>5.9299999999999999E-2</v>
      </c>
    </row>
    <row r="152" spans="1:5">
      <c r="A152" s="25">
        <v>45197</v>
      </c>
      <c r="B152" s="12">
        <v>518</v>
      </c>
      <c r="C152" s="26">
        <v>2.0400000000000001E-2</v>
      </c>
      <c r="D152" s="27">
        <v>2027</v>
      </c>
      <c r="E152" s="26">
        <v>7.9699999999999993E-2</v>
      </c>
    </row>
    <row r="153" spans="1:5">
      <c r="A153" s="25">
        <v>45198</v>
      </c>
      <c r="B153" s="12">
        <v>951</v>
      </c>
      <c r="C153" s="26">
        <v>3.7400000000000003E-2</v>
      </c>
      <c r="D153" s="27">
        <v>2978</v>
      </c>
      <c r="E153" s="26">
        <v>0.11700000000000001</v>
      </c>
    </row>
    <row r="154" spans="1:5">
      <c r="A154" s="25">
        <v>45199</v>
      </c>
      <c r="B154" s="12">
        <v>530</v>
      </c>
      <c r="C154" s="26">
        <v>2.0799999999999999E-2</v>
      </c>
      <c r="D154" s="27">
        <v>3508</v>
      </c>
      <c r="E154" s="26">
        <v>0.13789999999999999</v>
      </c>
    </row>
    <row r="155" spans="1:5">
      <c r="A155" s="25">
        <v>45200</v>
      </c>
      <c r="B155" s="12">
        <v>0</v>
      </c>
      <c r="C155" s="26">
        <v>0</v>
      </c>
      <c r="D155" s="27">
        <v>3508</v>
      </c>
      <c r="E155" s="26">
        <v>0.13789999999999999</v>
      </c>
    </row>
    <row r="156" spans="1:5">
      <c r="A156" s="25">
        <v>45201</v>
      </c>
      <c r="B156" s="12">
        <v>0</v>
      </c>
      <c r="C156" s="26">
        <v>0</v>
      </c>
      <c r="D156" s="27">
        <v>3508</v>
      </c>
      <c r="E156" s="26">
        <v>0.13789999999999999</v>
      </c>
    </row>
    <row r="157" spans="1:5">
      <c r="A157" s="25">
        <v>45202</v>
      </c>
      <c r="B157" s="12">
        <v>872</v>
      </c>
      <c r="C157" s="26">
        <v>3.4299999999999997E-2</v>
      </c>
      <c r="D157" s="27">
        <v>4380</v>
      </c>
      <c r="E157" s="26">
        <v>0.1721</v>
      </c>
    </row>
    <row r="158" spans="1:5">
      <c r="A158" s="25">
        <v>45203</v>
      </c>
      <c r="B158" s="27">
        <v>1162</v>
      </c>
      <c r="C158" s="26">
        <v>4.5699999999999998E-2</v>
      </c>
      <c r="D158" s="27">
        <v>5542</v>
      </c>
      <c r="E158" s="26">
        <v>0.21779999999999999</v>
      </c>
    </row>
    <row r="159" spans="1:5">
      <c r="A159" s="25">
        <v>45204</v>
      </c>
      <c r="B159" s="27">
        <v>1504</v>
      </c>
      <c r="C159" s="26">
        <v>5.91E-2</v>
      </c>
      <c r="D159" s="27">
        <v>7046</v>
      </c>
      <c r="E159" s="26">
        <v>0.27689999999999998</v>
      </c>
    </row>
    <row r="160" spans="1:5">
      <c r="A160" s="25">
        <v>45205</v>
      </c>
      <c r="B160" s="27">
        <v>1449</v>
      </c>
      <c r="C160" s="26">
        <v>5.6899999999999999E-2</v>
      </c>
      <c r="D160" s="27">
        <v>8495</v>
      </c>
      <c r="E160" s="26">
        <v>0.33379999999999999</v>
      </c>
    </row>
    <row r="161" spans="1:8">
      <c r="A161" s="25">
        <v>45206</v>
      </c>
      <c r="B161" s="27">
        <v>1210</v>
      </c>
      <c r="C161" s="26">
        <v>4.7500000000000001E-2</v>
      </c>
      <c r="D161" s="27">
        <v>9705</v>
      </c>
      <c r="E161" s="26">
        <v>0.38140000000000002</v>
      </c>
    </row>
    <row r="162" spans="1:8">
      <c r="A162" s="25">
        <v>45207</v>
      </c>
      <c r="B162" s="27">
        <v>2262</v>
      </c>
      <c r="C162" s="26">
        <v>8.8900000000000007E-2</v>
      </c>
      <c r="D162" s="27">
        <v>11967</v>
      </c>
      <c r="E162" s="26">
        <v>0.4703</v>
      </c>
    </row>
    <row r="163" spans="1:8">
      <c r="A163" s="12" t="s">
        <v>184</v>
      </c>
      <c r="B163" s="27">
        <v>11967</v>
      </c>
      <c r="D163" s="27">
        <v>11967</v>
      </c>
      <c r="E163" s="26">
        <v>0.4703</v>
      </c>
    </row>
    <row r="166" spans="1:8">
      <c r="A166" s="91" t="s">
        <v>121</v>
      </c>
      <c r="B166" s="91"/>
      <c r="C166" s="91"/>
      <c r="D166" s="91"/>
      <c r="E166" s="91"/>
      <c r="F166" s="91"/>
      <c r="G166" s="91"/>
      <c r="H166" s="91"/>
    </row>
    <row r="167" spans="1:8">
      <c r="A167" s="91">
        <v>51</v>
      </c>
      <c r="B167" s="91"/>
      <c r="C167" s="91"/>
      <c r="D167" s="91"/>
      <c r="E167" s="91"/>
      <c r="F167" s="91"/>
      <c r="G167" s="91"/>
      <c r="H167" s="91"/>
    </row>
    <row r="168" spans="1:8">
      <c r="A168" s="91" t="s">
        <v>196</v>
      </c>
      <c r="B168" s="91"/>
      <c r="C168" s="91"/>
      <c r="D168" s="91"/>
      <c r="E168" s="91"/>
      <c r="F168" s="91"/>
      <c r="G168" s="91"/>
      <c r="H168" s="91"/>
    </row>
    <row r="169" spans="1:8">
      <c r="A169" s="12" t="s">
        <v>176</v>
      </c>
      <c r="B169" s="12" t="s">
        <v>177</v>
      </c>
      <c r="C169" s="12" t="s">
        <v>178</v>
      </c>
      <c r="D169" s="12" t="s">
        <v>179</v>
      </c>
      <c r="E169" s="12" t="s">
        <v>187</v>
      </c>
    </row>
    <row r="170" spans="1:8">
      <c r="A170" s="25">
        <v>45188</v>
      </c>
      <c r="B170" s="12">
        <v>0</v>
      </c>
      <c r="C170" s="26">
        <v>0</v>
      </c>
      <c r="D170" s="12">
        <v>0</v>
      </c>
      <c r="E170" s="26">
        <v>0</v>
      </c>
    </row>
    <row r="171" spans="1:8">
      <c r="A171" s="25">
        <v>45189</v>
      </c>
      <c r="B171" s="12">
        <v>1</v>
      </c>
      <c r="C171" s="26">
        <v>2.0000000000000001E-4</v>
      </c>
      <c r="D171" s="12">
        <v>1</v>
      </c>
      <c r="E171" s="26">
        <v>2.0000000000000001E-4</v>
      </c>
    </row>
    <row r="172" spans="1:8">
      <c r="A172" s="25">
        <v>45190</v>
      </c>
      <c r="B172" s="12">
        <v>47</v>
      </c>
      <c r="C172" s="26">
        <v>8.0999999999999996E-3</v>
      </c>
      <c r="D172" s="12">
        <v>48</v>
      </c>
      <c r="E172" s="26">
        <v>8.3000000000000001E-3</v>
      </c>
    </row>
    <row r="173" spans="1:8">
      <c r="A173" s="25">
        <v>45191</v>
      </c>
      <c r="B173" s="12">
        <v>56</v>
      </c>
      <c r="C173" s="26">
        <v>9.7000000000000003E-3</v>
      </c>
      <c r="D173" s="12">
        <v>104</v>
      </c>
      <c r="E173" s="26">
        <v>1.7899999999999999E-2</v>
      </c>
    </row>
    <row r="174" spans="1:8">
      <c r="A174" s="25">
        <v>45192</v>
      </c>
      <c r="B174" s="12">
        <v>55</v>
      </c>
      <c r="C174" s="26">
        <v>9.4999999999999998E-3</v>
      </c>
      <c r="D174" s="12">
        <v>159</v>
      </c>
      <c r="E174" s="26">
        <v>2.7400000000000001E-2</v>
      </c>
    </row>
    <row r="175" spans="1:8">
      <c r="A175" s="25">
        <v>45193</v>
      </c>
      <c r="B175" s="12">
        <v>0</v>
      </c>
      <c r="C175" s="26">
        <v>0</v>
      </c>
      <c r="D175" s="12">
        <v>159</v>
      </c>
      <c r="E175" s="26">
        <v>2.7400000000000001E-2</v>
      </c>
    </row>
    <row r="176" spans="1:8">
      <c r="A176" s="25">
        <v>45194</v>
      </c>
      <c r="B176" s="12">
        <v>0</v>
      </c>
      <c r="C176" s="26">
        <v>0</v>
      </c>
      <c r="D176" s="12">
        <v>159</v>
      </c>
      <c r="E176" s="26">
        <v>2.7400000000000001E-2</v>
      </c>
    </row>
    <row r="177" spans="1:5">
      <c r="A177" s="25">
        <v>45195</v>
      </c>
      <c r="B177" s="12">
        <v>0</v>
      </c>
      <c r="C177" s="26">
        <v>0</v>
      </c>
      <c r="D177" s="12">
        <v>159</v>
      </c>
      <c r="E177" s="26">
        <v>2.7400000000000001E-2</v>
      </c>
    </row>
    <row r="178" spans="1:5">
      <c r="A178" s="25">
        <v>45196</v>
      </c>
      <c r="B178" s="12">
        <v>128</v>
      </c>
      <c r="C178" s="26">
        <v>2.2100000000000002E-2</v>
      </c>
      <c r="D178" s="12">
        <v>287</v>
      </c>
      <c r="E178" s="26">
        <v>4.9500000000000002E-2</v>
      </c>
    </row>
    <row r="179" spans="1:5">
      <c r="A179" s="25">
        <v>45197</v>
      </c>
      <c r="B179" s="12">
        <v>82</v>
      </c>
      <c r="C179" s="26">
        <v>1.41E-2</v>
      </c>
      <c r="D179" s="12">
        <v>369</v>
      </c>
      <c r="E179" s="26">
        <v>6.3600000000000004E-2</v>
      </c>
    </row>
    <row r="180" spans="1:5">
      <c r="A180" s="25">
        <v>45198</v>
      </c>
      <c r="B180" s="12">
        <v>138</v>
      </c>
      <c r="C180" s="26">
        <v>2.3800000000000002E-2</v>
      </c>
      <c r="D180" s="12">
        <v>507</v>
      </c>
      <c r="E180" s="26">
        <v>8.7400000000000005E-2</v>
      </c>
    </row>
    <row r="181" spans="1:5">
      <c r="A181" s="25">
        <v>45199</v>
      </c>
      <c r="B181" s="12">
        <v>85</v>
      </c>
      <c r="C181" s="26">
        <v>1.46E-2</v>
      </c>
      <c r="D181" s="12">
        <v>592</v>
      </c>
      <c r="E181" s="26">
        <v>0.10199999999999999</v>
      </c>
    </row>
    <row r="182" spans="1:5">
      <c r="A182" s="25">
        <v>45200</v>
      </c>
      <c r="B182" s="12">
        <v>0</v>
      </c>
      <c r="C182" s="26">
        <v>0</v>
      </c>
      <c r="D182" s="12">
        <v>592</v>
      </c>
      <c r="E182" s="26">
        <v>0.10199999999999999</v>
      </c>
    </row>
    <row r="183" spans="1:5">
      <c r="A183" s="25">
        <v>45201</v>
      </c>
      <c r="B183" s="12">
        <v>0</v>
      </c>
      <c r="C183" s="26">
        <v>0</v>
      </c>
      <c r="D183" s="12">
        <v>592</v>
      </c>
      <c r="E183" s="26">
        <v>0.10199999999999999</v>
      </c>
    </row>
    <row r="184" spans="1:5">
      <c r="A184" s="25">
        <v>45202</v>
      </c>
      <c r="B184" s="12">
        <v>152</v>
      </c>
      <c r="C184" s="26">
        <v>2.6200000000000001E-2</v>
      </c>
      <c r="D184" s="12">
        <v>744</v>
      </c>
      <c r="E184" s="26">
        <v>0.12820000000000001</v>
      </c>
    </row>
    <row r="185" spans="1:5">
      <c r="A185" s="25">
        <v>45203</v>
      </c>
      <c r="B185" s="12">
        <v>143</v>
      </c>
      <c r="C185" s="26">
        <v>2.46E-2</v>
      </c>
      <c r="D185" s="12">
        <v>887</v>
      </c>
      <c r="E185" s="26">
        <v>0.15290000000000001</v>
      </c>
    </row>
    <row r="186" spans="1:5">
      <c r="A186" s="25">
        <v>45204</v>
      </c>
      <c r="B186" s="12">
        <v>174</v>
      </c>
      <c r="C186" s="26">
        <v>0.03</v>
      </c>
      <c r="D186" s="27">
        <v>1061</v>
      </c>
      <c r="E186" s="26">
        <v>0.18279999999999999</v>
      </c>
    </row>
    <row r="187" spans="1:5">
      <c r="A187" s="25">
        <v>45205</v>
      </c>
      <c r="B187" s="12">
        <v>171</v>
      </c>
      <c r="C187" s="26">
        <v>2.9499999999999998E-2</v>
      </c>
      <c r="D187" s="27">
        <v>1232</v>
      </c>
      <c r="E187" s="26">
        <v>0.21229999999999999</v>
      </c>
    </row>
    <row r="188" spans="1:5">
      <c r="A188" s="25">
        <v>45206</v>
      </c>
      <c r="B188" s="12">
        <v>192</v>
      </c>
      <c r="C188" s="26">
        <v>3.3099999999999997E-2</v>
      </c>
      <c r="D188" s="27">
        <v>1424</v>
      </c>
      <c r="E188" s="26">
        <v>0.24540000000000001</v>
      </c>
    </row>
    <row r="189" spans="1:5">
      <c r="A189" s="25">
        <v>45207</v>
      </c>
      <c r="B189" s="12">
        <v>316</v>
      </c>
      <c r="C189" s="26">
        <v>5.45E-2</v>
      </c>
      <c r="D189" s="27">
        <v>1740</v>
      </c>
      <c r="E189" s="26">
        <v>0.29980000000000001</v>
      </c>
    </row>
    <row r="190" spans="1:5">
      <c r="A190" s="12" t="s">
        <v>184</v>
      </c>
      <c r="B190" s="27">
        <v>1740</v>
      </c>
      <c r="D190" s="27">
        <v>1740</v>
      </c>
      <c r="E190" s="26">
        <v>0.29980000000000001</v>
      </c>
    </row>
  </sheetData>
  <mergeCells count="23">
    <mergeCell ref="A32:H32"/>
    <mergeCell ref="A6:E6"/>
    <mergeCell ref="F6:H6"/>
    <mergeCell ref="A2:H2"/>
    <mergeCell ref="A3:H3"/>
    <mergeCell ref="A4:H4"/>
    <mergeCell ref="A139:H139"/>
    <mergeCell ref="A34:H34"/>
    <mergeCell ref="A33:H33"/>
    <mergeCell ref="A58:H58"/>
    <mergeCell ref="A60:H60"/>
    <mergeCell ref="A59:H59"/>
    <mergeCell ref="A85:H85"/>
    <mergeCell ref="A86:H86"/>
    <mergeCell ref="A87:H87"/>
    <mergeCell ref="A112:H112"/>
    <mergeCell ref="A113:H113"/>
    <mergeCell ref="A114:H114"/>
    <mergeCell ref="A140:H140"/>
    <mergeCell ref="A141:H141"/>
    <mergeCell ref="A166:H166"/>
    <mergeCell ref="A167:H167"/>
    <mergeCell ref="A168:H1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Wellington</vt:lpstr>
      <vt:lpstr>summary results</vt:lpstr>
      <vt:lpstr>full results</vt:lpstr>
      <vt:lpstr>returns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Clark Thomborson</dc:creator>
  <cp:lastModifiedBy>Clark Thomborson</cp:lastModifiedBy>
  <dcterms:created xsi:type="dcterms:W3CDTF">2023-04-30T21:05:33Z</dcterms:created>
  <dcterms:modified xsi:type="dcterms:W3CDTF">2023-05-01T05:30:57Z</dcterms:modified>
</cp:coreProperties>
</file>